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46170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46170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46170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21931-2026</t>
        </is>
      </c>
      <c r="B5" s="1" t="n">
        <v>46150.74097222222</v>
      </c>
      <c r="C5" s="1" t="n">
        <v>46170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20977-2025</t>
        </is>
      </c>
      <c r="B6" s="1" t="n">
        <v>45777.46130787037</v>
      </c>
      <c r="C6" s="1" t="n">
        <v>46170</v>
      </c>
      <c r="D6" t="inlineStr">
        <is>
          <t>VÄSTRA GÖTALANDS LÄN</t>
        </is>
      </c>
      <c r="E6" t="inlineStr">
        <is>
          <t>TÖREBODA</t>
        </is>
      </c>
      <c r="F6" t="inlineStr">
        <is>
          <t>Sveaskog</t>
        </is>
      </c>
      <c r="G6" t="n">
        <v>5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Gullklöver
Skogsklocka
Grönvit nattviol</t>
        </is>
      </c>
      <c r="S6">
        <f>HYPERLINK("https://klasma.github.io/Logging_1473/artfynd/A 20977-2025 artfynd.xlsx", "A 20977-2025")</f>
        <v/>
      </c>
      <c r="T6">
        <f>HYPERLINK("https://klasma.github.io/Logging_1473/kartor/A 20977-2025 karta.png", "A 20977-2025")</f>
        <v/>
      </c>
      <c r="V6">
        <f>HYPERLINK("https://klasma.github.io/Logging_1473/klagomål/A 20977-2025 FSC-klagomål.docx", "A 20977-2025")</f>
        <v/>
      </c>
      <c r="W6">
        <f>HYPERLINK("https://klasma.github.io/Logging_1473/klagomålsmail/A 20977-2025 FSC-klagomål mail.docx", "A 20977-2025")</f>
        <v/>
      </c>
      <c r="X6">
        <f>HYPERLINK("https://klasma.github.io/Logging_1473/tillsyn/A 20977-2025 tillsynsbegäran.docx", "A 20977-2025")</f>
        <v/>
      </c>
      <c r="Y6">
        <f>HYPERLINK("https://klasma.github.io/Logging_1473/tillsynsmail/A 20977-2025 tillsynsbegäran mail.docx", "A 20977-2025")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46170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46170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7823-2022</t>
        </is>
      </c>
      <c r="B9" s="1" t="n">
        <v>44608</v>
      </c>
      <c r="C9" s="1" t="n">
        <v>46170</v>
      </c>
      <c r="D9" t="inlineStr">
        <is>
          <t>VÄSTRA GÖTALANDS LÄN</t>
        </is>
      </c>
      <c r="E9" t="inlineStr">
        <is>
          <t>TÖREBODA</t>
        </is>
      </c>
      <c r="G9" t="n">
        <v>21.5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Grönvit nattviol</t>
        </is>
      </c>
      <c r="S9">
        <f>HYPERLINK("https://klasma.github.io/Logging_1473/artfynd/A 7823-2022 artfynd.xlsx", "A 7823-2022")</f>
        <v/>
      </c>
      <c r="T9">
        <f>HYPERLINK("https://klasma.github.io/Logging_1473/kartor/A 7823-2022 karta.png", "A 7823-2022")</f>
        <v/>
      </c>
      <c r="V9">
        <f>HYPERLINK("https://klasma.github.io/Logging_1473/klagomål/A 7823-2022 FSC-klagomål.docx", "A 7823-2022")</f>
        <v/>
      </c>
      <c r="W9">
        <f>HYPERLINK("https://klasma.github.io/Logging_1473/klagomålsmail/A 7823-2022 FSC-klagomål mail.docx", "A 7823-2022")</f>
        <v/>
      </c>
      <c r="X9">
        <f>HYPERLINK("https://klasma.github.io/Logging_1473/tillsyn/A 7823-2022 tillsynsbegäran.docx", "A 7823-2022")</f>
        <v/>
      </c>
      <c r="Y9">
        <f>HYPERLINK("https://klasma.github.io/Logging_1473/tillsynsmail/A 7823-2022 tillsynsbegäran mail.docx", "A 7823-2022")</f>
        <v/>
      </c>
    </row>
    <row r="10" ht="15" customHeight="1">
      <c r="A10" t="inlineStr">
        <is>
          <t>A 7772-2022</t>
        </is>
      </c>
      <c r="B10" s="1" t="n">
        <v>44608.45642361111</v>
      </c>
      <c r="C10" s="1" t="n">
        <v>46170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46170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46170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46170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46170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46170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46170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46170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8266-2022</t>
        </is>
      </c>
      <c r="B18" s="1" t="n">
        <v>44610</v>
      </c>
      <c r="C18" s="1" t="n">
        <v>46170</v>
      </c>
      <c r="D18" t="inlineStr">
        <is>
          <t>VÄSTRA GÖTALANDS LÄN</t>
        </is>
      </c>
      <c r="E18" t="inlineStr">
        <is>
          <t>TÖREBODA</t>
        </is>
      </c>
      <c r="F18" t="inlineStr">
        <is>
          <t>Sveaskog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HYPERLINK("https://klasma.github.io/Logging_1473/artfynd/A 8266-2022 artfynd.xlsx", "A 8266-2022")</f>
        <v/>
      </c>
      <c r="T18">
        <f>HYPERLINK("https://klasma.github.io/Logging_1473/kartor/A 8266-2022 karta.png", "A 8266-2022")</f>
        <v/>
      </c>
      <c r="V18">
        <f>HYPERLINK("https://klasma.github.io/Logging_1473/klagomål/A 8266-2022 FSC-klagomål.docx", "A 8266-2022")</f>
        <v/>
      </c>
      <c r="W18">
        <f>HYPERLINK("https://klasma.github.io/Logging_1473/klagomålsmail/A 8266-2022 FSC-klagomål mail.docx", "A 8266-2022")</f>
        <v/>
      </c>
      <c r="X18">
        <f>HYPERLINK("https://klasma.github.io/Logging_1473/tillsyn/A 8266-2022 tillsynsbegäran.docx", "A 8266-2022")</f>
        <v/>
      </c>
      <c r="Y18">
        <f>HYPERLINK("https://klasma.github.io/Logging_1473/tillsynsmail/A 8266-2022 tillsynsbegäran mail.docx", "A 8266-2022")</f>
        <v/>
      </c>
    </row>
    <row r="19" ht="15" customHeight="1">
      <c r="A19" t="inlineStr">
        <is>
          <t>A 49535-2021</t>
        </is>
      </c>
      <c r="B19" s="1" t="n">
        <v>44454</v>
      </c>
      <c r="C19" s="1" t="n">
        <v>46170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46170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46170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46170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46170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46170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46170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46170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46170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46170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46170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46170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39542-2022</t>
        </is>
      </c>
      <c r="B31" s="1" t="n">
        <v>44818</v>
      </c>
      <c r="C31" s="1" t="n">
        <v>46170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Kommuner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49567-2021</t>
        </is>
      </c>
      <c r="B32" s="1" t="n">
        <v>44454</v>
      </c>
      <c r="C32" s="1" t="n">
        <v>46170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24440-2022</t>
        </is>
      </c>
      <c r="B33" s="1" t="n">
        <v>44726</v>
      </c>
      <c r="C33" s="1" t="n">
        <v>46170</v>
      </c>
      <c r="D33" t="inlineStr">
        <is>
          <t>VÄSTRA GÖTALANDS LÄN</t>
        </is>
      </c>
      <c r="E33" t="inlineStr">
        <is>
          <t>TÖREBODA</t>
        </is>
      </c>
      <c r="G33" t="n">
        <v>22.2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42215-2021</t>
        </is>
      </c>
      <c r="B34" s="1" t="n">
        <v>44426</v>
      </c>
      <c r="C34" s="1" t="n">
        <v>46170</v>
      </c>
      <c r="D34" t="inlineStr">
        <is>
          <t>VÄSTRA GÖTALANDS LÄN</t>
        </is>
      </c>
      <c r="E34" t="inlineStr">
        <is>
          <t>TÖREBODA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9438-2022</t>
        </is>
      </c>
      <c r="B35" s="1" t="n">
        <v>44616</v>
      </c>
      <c r="C35" s="1" t="n">
        <v>46170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Kyrkan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7781-2022</t>
        </is>
      </c>
      <c r="B36" s="1" t="n">
        <v>44608.46501157407</v>
      </c>
      <c r="C36" s="1" t="n">
        <v>46170</v>
      </c>
      <c r="D36" t="inlineStr">
        <is>
          <t>VÄSTRA GÖTALANDS LÄN</t>
        </is>
      </c>
      <c r="E36" t="inlineStr">
        <is>
          <t>TÖREBODA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8915-2022</t>
        </is>
      </c>
      <c r="B37" s="1" t="n">
        <v>44614</v>
      </c>
      <c r="C37" s="1" t="n">
        <v>46170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Kyrkan</t>
        </is>
      </c>
      <c r="G37" t="n">
        <v>18.4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46170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8858-2022</t>
        </is>
      </c>
      <c r="B39" s="1" t="n">
        <v>44614</v>
      </c>
      <c r="C39" s="1" t="n">
        <v>46170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34145-2021</t>
        </is>
      </c>
      <c r="B40" s="1" t="n">
        <v>44379.47923611111</v>
      </c>
      <c r="C40" s="1" t="n">
        <v>46170</v>
      </c>
      <c r="D40" t="inlineStr">
        <is>
          <t>VÄSTRA GÖTALANDS LÄN</t>
        </is>
      </c>
      <c r="E40" t="inlineStr">
        <is>
          <t>TÖREBODA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72532-2021</t>
        </is>
      </c>
      <c r="B41" s="1" t="n">
        <v>44546.38177083333</v>
      </c>
      <c r="C41" s="1" t="n">
        <v>46170</v>
      </c>
      <c r="D41" t="inlineStr">
        <is>
          <t>VÄSTRA GÖTALANDS LÄN</t>
        </is>
      </c>
      <c r="E41" t="inlineStr">
        <is>
          <t>TÖREBODA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62339-2021</t>
        </is>
      </c>
      <c r="B42" s="1" t="n">
        <v>44503</v>
      </c>
      <c r="C42" s="1" t="n">
        <v>46170</v>
      </c>
      <c r="D42" t="inlineStr">
        <is>
          <t>VÄSTRA GÖTALANDS LÄN</t>
        </is>
      </c>
      <c r="E42" t="inlineStr">
        <is>
          <t>TÖREBODA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54621-2021</t>
        </is>
      </c>
      <c r="B43" s="1" t="n">
        <v>44473</v>
      </c>
      <c r="C43" s="1" t="n">
        <v>46170</v>
      </c>
      <c r="D43" t="inlineStr">
        <is>
          <t>VÄSTRA GÖTALANDS LÄN</t>
        </is>
      </c>
      <c r="E43" t="inlineStr">
        <is>
          <t>TÖREBODA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59945-2021</t>
        </is>
      </c>
      <c r="B44" s="1" t="n">
        <v>44494</v>
      </c>
      <c r="C44" s="1" t="n">
        <v>46170</v>
      </c>
      <c r="D44" t="inlineStr">
        <is>
          <t>VÄSTRA GÖTALANDS LÄN</t>
        </is>
      </c>
      <c r="E44" t="inlineStr">
        <is>
          <t>TÖREBODA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63182-2021</t>
        </is>
      </c>
      <c r="B45" s="1" t="n">
        <v>44507</v>
      </c>
      <c r="C45" s="1" t="n">
        <v>46170</v>
      </c>
      <c r="D45" t="inlineStr">
        <is>
          <t>VÄSTRA GÖTALANDS LÄN</t>
        </is>
      </c>
      <c r="E45" t="inlineStr">
        <is>
          <t>TÖREBODA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23005-2022</t>
        </is>
      </c>
      <c r="B46" s="1" t="n">
        <v>44719.31350694445</v>
      </c>
      <c r="C46" s="1" t="n">
        <v>46170</v>
      </c>
      <c r="D46" t="inlineStr">
        <is>
          <t>VÄSTRA GÖTALANDS LÄN</t>
        </is>
      </c>
      <c r="E46" t="inlineStr">
        <is>
          <t>TÖREBODA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29560-2022</t>
        </is>
      </c>
      <c r="B47" s="1" t="n">
        <v>44754.35616898148</v>
      </c>
      <c r="C47" s="1" t="n">
        <v>46170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69817-2021</t>
        </is>
      </c>
      <c r="B48" s="1" t="n">
        <v>44532</v>
      </c>
      <c r="C48" s="1" t="n">
        <v>46170</v>
      </c>
      <c r="D48" t="inlineStr">
        <is>
          <t>VÄSTRA GÖTALANDS LÄN</t>
        </is>
      </c>
      <c r="E48" t="inlineStr">
        <is>
          <t>TÖREBODA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6631-2022</t>
        </is>
      </c>
      <c r="B49" s="1" t="n">
        <v>44601.88369212963</v>
      </c>
      <c r="C49" s="1" t="n">
        <v>46170</v>
      </c>
      <c r="D49" t="inlineStr">
        <is>
          <t>VÄSTRA GÖTALANDS LÄN</t>
        </is>
      </c>
      <c r="E49" t="inlineStr">
        <is>
          <t>TÖREBODA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23018-2022</t>
        </is>
      </c>
      <c r="B50" s="1" t="n">
        <v>44719.37288194444</v>
      </c>
      <c r="C50" s="1" t="n">
        <v>46170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46752-2022</t>
        </is>
      </c>
      <c r="B51" s="1" t="n">
        <v>44847</v>
      </c>
      <c r="C51" s="1" t="n">
        <v>46170</v>
      </c>
      <c r="D51" t="inlineStr">
        <is>
          <t>VÄSTRA GÖTALANDS LÄN</t>
        </is>
      </c>
      <c r="E51" t="inlineStr">
        <is>
          <t>TÖREBODA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46759-2022</t>
        </is>
      </c>
      <c r="B52" s="1" t="n">
        <v>44847</v>
      </c>
      <c r="C52" s="1" t="n">
        <v>46170</v>
      </c>
      <c r="D52" t="inlineStr">
        <is>
          <t>VÄSTRA GÖTALANDS LÄN</t>
        </is>
      </c>
      <c r="E52" t="inlineStr">
        <is>
          <t>TÖREBODA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8921-2022</t>
        </is>
      </c>
      <c r="B53" s="1" t="n">
        <v>44614</v>
      </c>
      <c r="C53" s="1" t="n">
        <v>46170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Kyrkan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8859-2022</t>
        </is>
      </c>
      <c r="B54" s="1" t="n">
        <v>44614.54890046296</v>
      </c>
      <c r="C54" s="1" t="n">
        <v>46170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2385-2022</t>
        </is>
      </c>
      <c r="B55" s="1" t="n">
        <v>44579</v>
      </c>
      <c r="C55" s="1" t="n">
        <v>46170</v>
      </c>
      <c r="D55" t="inlineStr">
        <is>
          <t>VÄSTRA GÖTALANDS LÄN</t>
        </is>
      </c>
      <c r="E55" t="inlineStr">
        <is>
          <t>TÖREBODA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69286-2021</t>
        </is>
      </c>
      <c r="B56" s="1" t="n">
        <v>44531.45315972222</v>
      </c>
      <c r="C56" s="1" t="n">
        <v>46170</v>
      </c>
      <c r="D56" t="inlineStr">
        <is>
          <t>VÄSTRA GÖTALANDS LÄN</t>
        </is>
      </c>
      <c r="E56" t="inlineStr">
        <is>
          <t>TÖREBODA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31195-2021</t>
        </is>
      </c>
      <c r="B57" s="1" t="n">
        <v>44368.62329861111</v>
      </c>
      <c r="C57" s="1" t="n">
        <v>46170</v>
      </c>
      <c r="D57" t="inlineStr">
        <is>
          <t>VÄSTRA GÖTALANDS LÄN</t>
        </is>
      </c>
      <c r="E57" t="inlineStr">
        <is>
          <t>TÖREBODA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43522-2022</t>
        </is>
      </c>
      <c r="B58" s="1" t="n">
        <v>44837.37662037037</v>
      </c>
      <c r="C58" s="1" t="n">
        <v>46170</v>
      </c>
      <c r="D58" t="inlineStr">
        <is>
          <t>VÄSTRA GÖTALANDS LÄN</t>
        </is>
      </c>
      <c r="E58" t="inlineStr">
        <is>
          <t>TÖREBODA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47162-2022</t>
        </is>
      </c>
      <c r="B59" s="1" t="n">
        <v>44852.59957175926</v>
      </c>
      <c r="C59" s="1" t="n">
        <v>46170</v>
      </c>
      <c r="D59" t="inlineStr">
        <is>
          <t>VÄSTRA GÖTALANDS LÄN</t>
        </is>
      </c>
      <c r="E59" t="inlineStr">
        <is>
          <t>TÖREBODA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39634-2022</t>
        </is>
      </c>
      <c r="B60" s="1" t="n">
        <v>44818</v>
      </c>
      <c r="C60" s="1" t="n">
        <v>46170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Kommuner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47322-2022</t>
        </is>
      </c>
      <c r="B61" s="1" t="n">
        <v>44853</v>
      </c>
      <c r="C61" s="1" t="n">
        <v>46170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48491-2022</t>
        </is>
      </c>
      <c r="B62" s="1" t="n">
        <v>44858.79685185185</v>
      </c>
      <c r="C62" s="1" t="n">
        <v>46170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39894-2023</t>
        </is>
      </c>
      <c r="B63" s="1" t="n">
        <v>45166</v>
      </c>
      <c r="C63" s="1" t="n">
        <v>46170</v>
      </c>
      <c r="D63" t="inlineStr">
        <is>
          <t>VÄSTRA GÖTALANDS LÄN</t>
        </is>
      </c>
      <c r="E63" t="inlineStr">
        <is>
          <t>TÖREBODA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55285-2023</t>
        </is>
      </c>
      <c r="B64" s="1" t="n">
        <v>45237.74319444445</v>
      </c>
      <c r="C64" s="1" t="n">
        <v>46170</v>
      </c>
      <c r="D64" t="inlineStr">
        <is>
          <t>VÄSTRA GÖTALANDS LÄN</t>
        </is>
      </c>
      <c r="E64" t="inlineStr">
        <is>
          <t>TÖREBODA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61281-2024</t>
        </is>
      </c>
      <c r="B65" s="1" t="n">
        <v>45645.78270833333</v>
      </c>
      <c r="C65" s="1" t="n">
        <v>46170</v>
      </c>
      <c r="D65" t="inlineStr">
        <is>
          <t>VÄSTRA GÖTALANDS LÄN</t>
        </is>
      </c>
      <c r="E65" t="inlineStr">
        <is>
          <t>TÖREBODA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16265-2025</t>
        </is>
      </c>
      <c r="B66" s="1" t="n">
        <v>45750.8152662037</v>
      </c>
      <c r="C66" s="1" t="n">
        <v>46170</v>
      </c>
      <c r="D66" t="inlineStr">
        <is>
          <t>VÄSTRA GÖTALANDS LÄN</t>
        </is>
      </c>
      <c r="E66" t="inlineStr">
        <is>
          <t>TÖREBODA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22021-2024</t>
        </is>
      </c>
      <c r="B67" s="1" t="n">
        <v>45443</v>
      </c>
      <c r="C67" s="1" t="n">
        <v>46170</v>
      </c>
      <c r="D67" t="inlineStr">
        <is>
          <t>VÄSTRA GÖTALANDS LÄN</t>
        </is>
      </c>
      <c r="E67" t="inlineStr">
        <is>
          <t>TÖREBODA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20210-2022</t>
        </is>
      </c>
      <c r="B68" s="1" t="n">
        <v>44698</v>
      </c>
      <c r="C68" s="1" t="n">
        <v>46170</v>
      </c>
      <c r="D68" t="inlineStr">
        <is>
          <t>VÄSTRA GÖTALANDS LÄN</t>
        </is>
      </c>
      <c r="E68" t="inlineStr">
        <is>
          <t>TÖREBODA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24381-2023</t>
        </is>
      </c>
      <c r="B69" s="1" t="n">
        <v>45076</v>
      </c>
      <c r="C69" s="1" t="n">
        <v>46170</v>
      </c>
      <c r="D69" t="inlineStr">
        <is>
          <t>VÄSTRA GÖTALANDS LÄN</t>
        </is>
      </c>
      <c r="E69" t="inlineStr">
        <is>
          <t>TÖREBODA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39652-2024</t>
        </is>
      </c>
      <c r="B70" s="1" t="n">
        <v>45552.48734953703</v>
      </c>
      <c r="C70" s="1" t="n">
        <v>46170</v>
      </c>
      <c r="D70" t="inlineStr">
        <is>
          <t>VÄSTRA GÖTALANDS LÄN</t>
        </is>
      </c>
      <c r="E70" t="inlineStr">
        <is>
          <t>TÖREBODA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60433-2024</t>
        </is>
      </c>
      <c r="B71" s="1" t="n">
        <v>45643.57449074074</v>
      </c>
      <c r="C71" s="1" t="n">
        <v>46170</v>
      </c>
      <c r="D71" t="inlineStr">
        <is>
          <t>VÄSTRA GÖTALANDS LÄN</t>
        </is>
      </c>
      <c r="E71" t="inlineStr">
        <is>
          <t>TÖREBODA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35238-2023</t>
        </is>
      </c>
      <c r="B72" s="1" t="n">
        <v>45145.74743055556</v>
      </c>
      <c r="C72" s="1" t="n">
        <v>46170</v>
      </c>
      <c r="D72" t="inlineStr">
        <is>
          <t>VÄSTRA GÖTALANDS LÄN</t>
        </is>
      </c>
      <c r="E72" t="inlineStr">
        <is>
          <t>TÖREBODA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24363-2024</t>
        </is>
      </c>
      <c r="B73" s="1" t="n">
        <v>45457.60121527778</v>
      </c>
      <c r="C73" s="1" t="n">
        <v>46170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57220-2023</t>
        </is>
      </c>
      <c r="B74" s="1" t="n">
        <v>45245.5027662037</v>
      </c>
      <c r="C74" s="1" t="n">
        <v>46170</v>
      </c>
      <c r="D74" t="inlineStr">
        <is>
          <t>VÄSTRA GÖTALANDS LÄN</t>
        </is>
      </c>
      <c r="E74" t="inlineStr">
        <is>
          <t>TÖREBODA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11680-2024</t>
        </is>
      </c>
      <c r="B75" s="1" t="n">
        <v>45373</v>
      </c>
      <c r="C75" s="1" t="n">
        <v>46170</v>
      </c>
      <c r="D75" t="inlineStr">
        <is>
          <t>VÄSTRA GÖTALANDS LÄN</t>
        </is>
      </c>
      <c r="E75" t="inlineStr">
        <is>
          <t>TÖREBODA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4435-2023</t>
        </is>
      </c>
      <c r="B76" s="1" t="n">
        <v>44956.42466435185</v>
      </c>
      <c r="C76" s="1" t="n">
        <v>46170</v>
      </c>
      <c r="D76" t="inlineStr">
        <is>
          <t>VÄSTRA GÖTALANDS LÄN</t>
        </is>
      </c>
      <c r="E76" t="inlineStr">
        <is>
          <t>TÖREBODA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19723-2023</t>
        </is>
      </c>
      <c r="B77" s="1" t="n">
        <v>45051</v>
      </c>
      <c r="C77" s="1" t="n">
        <v>46170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56685-2024</t>
        </is>
      </c>
      <c r="B78" s="1" t="n">
        <v>45627.58290509259</v>
      </c>
      <c r="C78" s="1" t="n">
        <v>46170</v>
      </c>
      <c r="D78" t="inlineStr">
        <is>
          <t>VÄSTRA GÖTALANDS LÄN</t>
        </is>
      </c>
      <c r="E78" t="inlineStr">
        <is>
          <t>TÖREBODA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10431-2025</t>
        </is>
      </c>
      <c r="B79" s="1" t="n">
        <v>45720</v>
      </c>
      <c r="C79" s="1" t="n">
        <v>46170</v>
      </c>
      <c r="D79" t="inlineStr">
        <is>
          <t>VÄSTRA GÖTALANDS LÄN</t>
        </is>
      </c>
      <c r="E79" t="inlineStr">
        <is>
          <t>TÖREBODA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52985-2024</t>
        </is>
      </c>
      <c r="B80" s="1" t="n">
        <v>45611.35905092592</v>
      </c>
      <c r="C80" s="1" t="n">
        <v>46170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11730-2025</t>
        </is>
      </c>
      <c r="B81" s="1" t="n">
        <v>45727</v>
      </c>
      <c r="C81" s="1" t="n">
        <v>46170</v>
      </c>
      <c r="D81" t="inlineStr">
        <is>
          <t>VÄSTRA GÖTALANDS LÄN</t>
        </is>
      </c>
      <c r="E81" t="inlineStr">
        <is>
          <t>TÖREBODA</t>
        </is>
      </c>
      <c r="G81" t="n">
        <v>11.2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38704-2025</t>
        </is>
      </c>
      <c r="B82" s="1" t="n">
        <v>45885.43899305556</v>
      </c>
      <c r="C82" s="1" t="n">
        <v>46170</v>
      </c>
      <c r="D82" t="inlineStr">
        <is>
          <t>VÄSTRA GÖTALANDS LÄN</t>
        </is>
      </c>
      <c r="E82" t="inlineStr">
        <is>
          <t>TÖREBODA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9109-2025</t>
        </is>
      </c>
      <c r="B83" s="1" t="n">
        <v>45713.77140046296</v>
      </c>
      <c r="C83" s="1" t="n">
        <v>46170</v>
      </c>
      <c r="D83" t="inlineStr">
        <is>
          <t>VÄSTRA GÖTALANDS LÄN</t>
        </is>
      </c>
      <c r="E83" t="inlineStr">
        <is>
          <t>TÖREBODA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6446-2025</t>
        </is>
      </c>
      <c r="B84" s="1" t="n">
        <v>45699</v>
      </c>
      <c r="C84" s="1" t="n">
        <v>46170</v>
      </c>
      <c r="D84" t="inlineStr">
        <is>
          <t>VÄSTRA GÖTALANDS LÄN</t>
        </is>
      </c>
      <c r="E84" t="inlineStr">
        <is>
          <t>TÖREBODA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5971-2022</t>
        </is>
      </c>
      <c r="B85" s="1" t="n">
        <v>44599</v>
      </c>
      <c r="C85" s="1" t="n">
        <v>46170</v>
      </c>
      <c r="D85" t="inlineStr">
        <is>
          <t>VÄSTRA GÖTALANDS LÄN</t>
        </is>
      </c>
      <c r="E85" t="inlineStr">
        <is>
          <t>TÖREBODA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23664-2023</t>
        </is>
      </c>
      <c r="B86" s="1" t="n">
        <v>45077</v>
      </c>
      <c r="C86" s="1" t="n">
        <v>46170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Övriga Aktiebolag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51081-2025</t>
        </is>
      </c>
      <c r="B87" s="1" t="n">
        <v>45947.46731481481</v>
      </c>
      <c r="C87" s="1" t="n">
        <v>46170</v>
      </c>
      <c r="D87" t="inlineStr">
        <is>
          <t>VÄSTRA GÖTALANDS LÄN</t>
        </is>
      </c>
      <c r="E87" t="inlineStr">
        <is>
          <t>TÖREBODA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12328-2025</t>
        </is>
      </c>
      <c r="B88" s="1" t="n">
        <v>45730.31946759259</v>
      </c>
      <c r="C88" s="1" t="n">
        <v>46170</v>
      </c>
      <c r="D88" t="inlineStr">
        <is>
          <t>VÄSTRA GÖTALANDS LÄN</t>
        </is>
      </c>
      <c r="E88" t="inlineStr">
        <is>
          <t>TÖREBODA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60384-2024</t>
        </is>
      </c>
      <c r="B89" s="1" t="n">
        <v>45643.47832175926</v>
      </c>
      <c r="C89" s="1" t="n">
        <v>46170</v>
      </c>
      <c r="D89" t="inlineStr">
        <is>
          <t>VÄSTRA GÖTALANDS LÄN</t>
        </is>
      </c>
      <c r="E89" t="inlineStr">
        <is>
          <t>TÖREBODA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15947-2022</t>
        </is>
      </c>
      <c r="B90" s="1" t="n">
        <v>44664.68390046297</v>
      </c>
      <c r="C90" s="1" t="n">
        <v>46170</v>
      </c>
      <c r="D90" t="inlineStr">
        <is>
          <t>VÄSTRA GÖTALANDS LÄN</t>
        </is>
      </c>
      <c r="E90" t="inlineStr">
        <is>
          <t>TÖREBODA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12634-2024</t>
        </is>
      </c>
      <c r="B91" s="1" t="n">
        <v>45384.30657407407</v>
      </c>
      <c r="C91" s="1" t="n">
        <v>46170</v>
      </c>
      <c r="D91" t="inlineStr">
        <is>
          <t>VÄSTRA GÖTALANDS LÄN</t>
        </is>
      </c>
      <c r="E91" t="inlineStr">
        <is>
          <t>TÖREBODA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7122-2024</t>
        </is>
      </c>
      <c r="B92" s="1" t="n">
        <v>45344</v>
      </c>
      <c r="C92" s="1" t="n">
        <v>46170</v>
      </c>
      <c r="D92" t="inlineStr">
        <is>
          <t>VÄSTRA GÖTALANDS LÄN</t>
        </is>
      </c>
      <c r="E92" t="inlineStr">
        <is>
          <t>TÖREBODA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61873-2024</t>
        </is>
      </c>
      <c r="B93" s="1" t="n">
        <v>45651.88362268519</v>
      </c>
      <c r="C93" s="1" t="n">
        <v>46170</v>
      </c>
      <c r="D93" t="inlineStr">
        <is>
          <t>VÄSTRA GÖTALANDS LÄN</t>
        </is>
      </c>
      <c r="E93" t="inlineStr">
        <is>
          <t>TÖREBODA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38841-2022</t>
        </is>
      </c>
      <c r="B94" s="1" t="n">
        <v>44816</v>
      </c>
      <c r="C94" s="1" t="n">
        <v>46170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Kyrkan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30593-2024</t>
        </is>
      </c>
      <c r="B95" s="1" t="n">
        <v>45493.34775462963</v>
      </c>
      <c r="C95" s="1" t="n">
        <v>46170</v>
      </c>
      <c r="D95" t="inlineStr">
        <is>
          <t>VÄSTRA GÖTALANDS LÄN</t>
        </is>
      </c>
      <c r="E95" t="inlineStr">
        <is>
          <t>TÖREBODA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14505-2024</t>
        </is>
      </c>
      <c r="B96" s="1" t="n">
        <v>45394</v>
      </c>
      <c r="C96" s="1" t="n">
        <v>46170</v>
      </c>
      <c r="D96" t="inlineStr">
        <is>
          <t>VÄSTRA GÖTALANDS LÄN</t>
        </is>
      </c>
      <c r="E96" t="inlineStr">
        <is>
          <t>TÖREBODA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39394-2025</t>
        </is>
      </c>
      <c r="B97" s="1" t="n">
        <v>45889.63019675926</v>
      </c>
      <c r="C97" s="1" t="n">
        <v>46170</v>
      </c>
      <c r="D97" t="inlineStr">
        <is>
          <t>VÄSTRA GÖTALANDS LÄN</t>
        </is>
      </c>
      <c r="E97" t="inlineStr">
        <is>
          <t>TÖREBODA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39189-2023</t>
        </is>
      </c>
      <c r="B98" s="1" t="n">
        <v>45166.39717592593</v>
      </c>
      <c r="C98" s="1" t="n">
        <v>46170</v>
      </c>
      <c r="D98" t="inlineStr">
        <is>
          <t>VÄSTRA GÖTALANDS LÄN</t>
        </is>
      </c>
      <c r="E98" t="inlineStr">
        <is>
          <t>TÖREBODA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27086-2022</t>
        </is>
      </c>
      <c r="B99" s="1" t="n">
        <v>44741.4200462963</v>
      </c>
      <c r="C99" s="1" t="n">
        <v>46170</v>
      </c>
      <c r="D99" t="inlineStr">
        <is>
          <t>VÄSTRA GÖTALANDS LÄN</t>
        </is>
      </c>
      <c r="E99" t="inlineStr">
        <is>
          <t>TÖREBODA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38987-2025</t>
        </is>
      </c>
      <c r="B100" s="1" t="n">
        <v>45888.31350694445</v>
      </c>
      <c r="C100" s="1" t="n">
        <v>46170</v>
      </c>
      <c r="D100" t="inlineStr">
        <is>
          <t>VÄSTRA GÖTALANDS LÄN</t>
        </is>
      </c>
      <c r="E100" t="inlineStr">
        <is>
          <t>TÖREBODA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21014-2024</t>
        </is>
      </c>
      <c r="B101" s="1" t="n">
        <v>45439.63131944444</v>
      </c>
      <c r="C101" s="1" t="n">
        <v>46170</v>
      </c>
      <c r="D101" t="inlineStr">
        <is>
          <t>VÄSTRA GÖTALANDS LÄN</t>
        </is>
      </c>
      <c r="E101" t="inlineStr">
        <is>
          <t>TÖREBODA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48969-2023</t>
        </is>
      </c>
      <c r="B102" s="1" t="n">
        <v>45209</v>
      </c>
      <c r="C102" s="1" t="n">
        <v>46170</v>
      </c>
      <c r="D102" t="inlineStr">
        <is>
          <t>VÄSTRA GÖTALANDS LÄN</t>
        </is>
      </c>
      <c r="E102" t="inlineStr">
        <is>
          <t>TÖREBODA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58006-2024</t>
        </is>
      </c>
      <c r="B103" s="1" t="n">
        <v>45631</v>
      </c>
      <c r="C103" s="1" t="n">
        <v>46170</v>
      </c>
      <c r="D103" t="inlineStr">
        <is>
          <t>VÄSTRA GÖTALANDS LÄN</t>
        </is>
      </c>
      <c r="E103" t="inlineStr">
        <is>
          <t>TÖREBODA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43559-2024</t>
        </is>
      </c>
      <c r="B104" s="1" t="n">
        <v>45569.39606481481</v>
      </c>
      <c r="C104" s="1" t="n">
        <v>46170</v>
      </c>
      <c r="D104" t="inlineStr">
        <is>
          <t>VÄSTRA GÖTALANDS LÄN</t>
        </is>
      </c>
      <c r="E104" t="inlineStr">
        <is>
          <t>TÖREBODA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18690-2025</t>
        </is>
      </c>
      <c r="B105" s="1" t="n">
        <v>45763.6150462963</v>
      </c>
      <c r="C105" s="1" t="n">
        <v>46170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2128-2024</t>
        </is>
      </c>
      <c r="B106" s="1" t="n">
        <v>45309</v>
      </c>
      <c r="C106" s="1" t="n">
        <v>46170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48734-2024</t>
        </is>
      </c>
      <c r="B107" s="1" t="n">
        <v>45593</v>
      </c>
      <c r="C107" s="1" t="n">
        <v>46170</v>
      </c>
      <c r="D107" t="inlineStr">
        <is>
          <t>VÄSTRA GÖTALANDS LÄN</t>
        </is>
      </c>
      <c r="E107" t="inlineStr">
        <is>
          <t>TÖREBODA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51879-2025</t>
        </is>
      </c>
      <c r="B108" s="1" t="n">
        <v>45952.40320601852</v>
      </c>
      <c r="C108" s="1" t="n">
        <v>46170</v>
      </c>
      <c r="D108" t="inlineStr">
        <is>
          <t>VÄSTRA GÖTALANDS LÄN</t>
        </is>
      </c>
      <c r="E108" t="inlineStr">
        <is>
          <t>TÖREBODA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35438-2024</t>
        </is>
      </c>
      <c r="B109" s="1" t="n">
        <v>45531</v>
      </c>
      <c r="C109" s="1" t="n">
        <v>46170</v>
      </c>
      <c r="D109" t="inlineStr">
        <is>
          <t>VÄSTRA GÖTALANDS LÄN</t>
        </is>
      </c>
      <c r="E109" t="inlineStr">
        <is>
          <t>TÖREBODA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905-2025</t>
        </is>
      </c>
      <c r="B110" s="1" t="n">
        <v>45664</v>
      </c>
      <c r="C110" s="1" t="n">
        <v>46170</v>
      </c>
      <c r="D110" t="inlineStr">
        <is>
          <t>VÄSTRA GÖTALANDS LÄN</t>
        </is>
      </c>
      <c r="E110" t="inlineStr">
        <is>
          <t>TÖREBODA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989-2022</t>
        </is>
      </c>
      <c r="B111" s="1" t="n">
        <v>44571</v>
      </c>
      <c r="C111" s="1" t="n">
        <v>46170</v>
      </c>
      <c r="D111" t="inlineStr">
        <is>
          <t>VÄSTRA GÖTALANDS LÄN</t>
        </is>
      </c>
      <c r="E111" t="inlineStr">
        <is>
          <t>TÖREBODA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14722-2025</t>
        </is>
      </c>
      <c r="B112" s="1" t="n">
        <v>45742.62731481482</v>
      </c>
      <c r="C112" s="1" t="n">
        <v>46170</v>
      </c>
      <c r="D112" t="inlineStr">
        <is>
          <t>VÄSTRA GÖTALANDS LÄN</t>
        </is>
      </c>
      <c r="E112" t="inlineStr">
        <is>
          <t>TÖREBODA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25410-2023</t>
        </is>
      </c>
      <c r="B113" s="1" t="n">
        <v>45089.37612268519</v>
      </c>
      <c r="C113" s="1" t="n">
        <v>46170</v>
      </c>
      <c r="D113" t="inlineStr">
        <is>
          <t>VÄSTRA GÖTALANDS LÄN</t>
        </is>
      </c>
      <c r="E113" t="inlineStr">
        <is>
          <t>TÖREBODA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23033-2024</t>
        </is>
      </c>
      <c r="B114" s="1" t="n">
        <v>45450.38638888889</v>
      </c>
      <c r="C114" s="1" t="n">
        <v>46170</v>
      </c>
      <c r="D114" t="inlineStr">
        <is>
          <t>VÄSTRA GÖTALANDS LÄN</t>
        </is>
      </c>
      <c r="E114" t="inlineStr">
        <is>
          <t>TÖREBODA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26941-2025</t>
        </is>
      </c>
      <c r="B115" s="1" t="n">
        <v>45811</v>
      </c>
      <c r="C115" s="1" t="n">
        <v>46170</v>
      </c>
      <c r="D115" t="inlineStr">
        <is>
          <t>VÄSTRA GÖTALANDS LÄN</t>
        </is>
      </c>
      <c r="E115" t="inlineStr">
        <is>
          <t>TÖREBODA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29739-2024</t>
        </is>
      </c>
      <c r="B116" s="1" t="n">
        <v>45485.3945949074</v>
      </c>
      <c r="C116" s="1" t="n">
        <v>46170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42587-2025</t>
        </is>
      </c>
      <c r="B117" s="1" t="n">
        <v>45905</v>
      </c>
      <c r="C117" s="1" t="n">
        <v>46170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52638-2025</t>
        </is>
      </c>
      <c r="B118" s="1" t="n">
        <v>45954.77373842592</v>
      </c>
      <c r="C118" s="1" t="n">
        <v>46170</v>
      </c>
      <c r="D118" t="inlineStr">
        <is>
          <t>VÄSTRA GÖTALANDS LÄN</t>
        </is>
      </c>
      <c r="E118" t="inlineStr">
        <is>
          <t>TÖREBODA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26963-2025</t>
        </is>
      </c>
      <c r="B119" s="1" t="n">
        <v>45811.46427083333</v>
      </c>
      <c r="C119" s="1" t="n">
        <v>46170</v>
      </c>
      <c r="D119" t="inlineStr">
        <is>
          <t>VÄSTRA GÖTALANDS LÄN</t>
        </is>
      </c>
      <c r="E119" t="inlineStr">
        <is>
          <t>TÖREBODA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42230-2025</t>
        </is>
      </c>
      <c r="B120" s="1" t="n">
        <v>45904.55456018518</v>
      </c>
      <c r="C120" s="1" t="n">
        <v>46170</v>
      </c>
      <c r="D120" t="inlineStr">
        <is>
          <t>VÄSTRA GÖTALANDS LÄN</t>
        </is>
      </c>
      <c r="E120" t="inlineStr">
        <is>
          <t>TÖREBODA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52639-2025</t>
        </is>
      </c>
      <c r="B121" s="1" t="n">
        <v>45954.77623842593</v>
      </c>
      <c r="C121" s="1" t="n">
        <v>46170</v>
      </c>
      <c r="D121" t="inlineStr">
        <is>
          <t>VÄSTRA GÖTALANDS LÄN</t>
        </is>
      </c>
      <c r="E121" t="inlineStr">
        <is>
          <t>TÖREBODA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27429-2025</t>
        </is>
      </c>
      <c r="B122" s="1" t="n">
        <v>45813.29658564815</v>
      </c>
      <c r="C122" s="1" t="n">
        <v>46170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27430-2025</t>
        </is>
      </c>
      <c r="B123" s="1" t="n">
        <v>45813.29825231482</v>
      </c>
      <c r="C123" s="1" t="n">
        <v>46170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54016-2025</t>
        </is>
      </c>
      <c r="B124" s="1" t="n">
        <v>45961</v>
      </c>
      <c r="C124" s="1" t="n">
        <v>46170</v>
      </c>
      <c r="D124" t="inlineStr">
        <is>
          <t>VÄSTRA GÖTALANDS LÄN</t>
        </is>
      </c>
      <c r="E124" t="inlineStr">
        <is>
          <t>TÖREBODA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49197-2025</t>
        </is>
      </c>
      <c r="B125" s="1" t="n">
        <v>45937</v>
      </c>
      <c r="C125" s="1" t="n">
        <v>46170</v>
      </c>
      <c r="D125" t="inlineStr">
        <is>
          <t>VÄSTRA GÖTALANDS LÄN</t>
        </is>
      </c>
      <c r="E125" t="inlineStr">
        <is>
          <t>TÖREBODA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43440-2025</t>
        </is>
      </c>
      <c r="B126" s="1" t="n">
        <v>45911.43915509259</v>
      </c>
      <c r="C126" s="1" t="n">
        <v>46170</v>
      </c>
      <c r="D126" t="inlineStr">
        <is>
          <t>VÄSTRA GÖTALANDS LÄN</t>
        </is>
      </c>
      <c r="E126" t="inlineStr">
        <is>
          <t>TÖREBODA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4109-2025</t>
        </is>
      </c>
      <c r="B127" s="1" t="n">
        <v>45684.69579861111</v>
      </c>
      <c r="C127" s="1" t="n">
        <v>46170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54217-2025</t>
        </is>
      </c>
      <c r="B128" s="1" t="n">
        <v>45964.59778935185</v>
      </c>
      <c r="C128" s="1" t="n">
        <v>46170</v>
      </c>
      <c r="D128" t="inlineStr">
        <is>
          <t>VÄSTRA GÖTALANDS LÄN</t>
        </is>
      </c>
      <c r="E128" t="inlineStr">
        <is>
          <t>TÖREBODA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44074-2025</t>
        </is>
      </c>
      <c r="B129" s="1" t="n">
        <v>45915.54888888889</v>
      </c>
      <c r="C129" s="1" t="n">
        <v>46170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43688-2025</t>
        </is>
      </c>
      <c r="B130" s="1" t="n">
        <v>45912</v>
      </c>
      <c r="C130" s="1" t="n">
        <v>46170</v>
      </c>
      <c r="D130" t="inlineStr">
        <is>
          <t>VÄSTRA GÖTALANDS LÄN</t>
        </is>
      </c>
      <c r="E130" t="inlineStr">
        <is>
          <t>TÖREBODA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28869-2025</t>
        </is>
      </c>
      <c r="B131" s="1" t="n">
        <v>45820.60309027778</v>
      </c>
      <c r="C131" s="1" t="n">
        <v>46170</v>
      </c>
      <c r="D131" t="inlineStr">
        <is>
          <t>VÄSTRA GÖTALANDS LÄN</t>
        </is>
      </c>
      <c r="E131" t="inlineStr">
        <is>
          <t>TÖREBODA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25908-2025</t>
        </is>
      </c>
      <c r="B132" s="1" t="n">
        <v>45803</v>
      </c>
      <c r="C132" s="1" t="n">
        <v>46170</v>
      </c>
      <c r="D132" t="inlineStr">
        <is>
          <t>VÄSTRA GÖTALANDS LÄN</t>
        </is>
      </c>
      <c r="E132" t="inlineStr">
        <is>
          <t>TÖREBODA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43561-2024</t>
        </is>
      </c>
      <c r="B133" s="1" t="n">
        <v>45569.39880787037</v>
      </c>
      <c r="C133" s="1" t="n">
        <v>46170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18741-2025</t>
        </is>
      </c>
      <c r="B134" s="1" t="n">
        <v>45763.73197916667</v>
      </c>
      <c r="C134" s="1" t="n">
        <v>46170</v>
      </c>
      <c r="D134" t="inlineStr">
        <is>
          <t>VÄSTRA GÖTALANDS LÄN</t>
        </is>
      </c>
      <c r="E134" t="inlineStr">
        <is>
          <t>TÖREBODA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44518-2023</t>
        </is>
      </c>
      <c r="B135" s="1" t="n">
        <v>45189</v>
      </c>
      <c r="C135" s="1" t="n">
        <v>46170</v>
      </c>
      <c r="D135" t="inlineStr">
        <is>
          <t>VÄSTRA GÖTALANDS LÄN</t>
        </is>
      </c>
      <c r="E135" t="inlineStr">
        <is>
          <t>TÖREBODA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29180-2025</t>
        </is>
      </c>
      <c r="B136" s="1" t="n">
        <v>45821</v>
      </c>
      <c r="C136" s="1" t="n">
        <v>46170</v>
      </c>
      <c r="D136" t="inlineStr">
        <is>
          <t>VÄSTRA GÖTALANDS LÄN</t>
        </is>
      </c>
      <c r="E136" t="inlineStr">
        <is>
          <t>TÖREBODA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58097-2024</t>
        </is>
      </c>
      <c r="B137" s="1" t="n">
        <v>45632</v>
      </c>
      <c r="C137" s="1" t="n">
        <v>46170</v>
      </c>
      <c r="D137" t="inlineStr">
        <is>
          <t>VÄSTRA GÖTALANDS LÄN</t>
        </is>
      </c>
      <c r="E137" t="inlineStr">
        <is>
          <t>TÖREBODA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45251-2025</t>
        </is>
      </c>
      <c r="B138" s="1" t="n">
        <v>45919.61405092593</v>
      </c>
      <c r="C138" s="1" t="n">
        <v>46170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24544-2024</t>
        </is>
      </c>
      <c r="B139" s="1" t="n">
        <v>45460.3953125</v>
      </c>
      <c r="C139" s="1" t="n">
        <v>46170</v>
      </c>
      <c r="D139" t="inlineStr">
        <is>
          <t>VÄSTRA GÖTALANDS LÄN</t>
        </is>
      </c>
      <c r="E139" t="inlineStr">
        <is>
          <t>TÖREBODA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24546-2024</t>
        </is>
      </c>
      <c r="B140" s="1" t="n">
        <v>45460.39871527778</v>
      </c>
      <c r="C140" s="1" t="n">
        <v>46170</v>
      </c>
      <c r="D140" t="inlineStr">
        <is>
          <t>VÄSTRA GÖTALANDS LÄN</t>
        </is>
      </c>
      <c r="E140" t="inlineStr">
        <is>
          <t>TÖREBODA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45262-2025</t>
        </is>
      </c>
      <c r="B141" s="1" t="n">
        <v>45919</v>
      </c>
      <c r="C141" s="1" t="n">
        <v>46170</v>
      </c>
      <c r="D141" t="inlineStr">
        <is>
          <t>VÄSTRA GÖTALANDS LÄN</t>
        </is>
      </c>
      <c r="E141" t="inlineStr">
        <is>
          <t>TÖREBODA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64799-2023</t>
        </is>
      </c>
      <c r="B142" s="1" t="n">
        <v>45282.38482638889</v>
      </c>
      <c r="C142" s="1" t="n">
        <v>46170</v>
      </c>
      <c r="D142" t="inlineStr">
        <is>
          <t>VÄSTRA GÖTALANDS LÄN</t>
        </is>
      </c>
      <c r="E142" t="inlineStr">
        <is>
          <t>TÖREBODA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45349-2025</t>
        </is>
      </c>
      <c r="B143" s="1" t="n">
        <v>45922.35612268518</v>
      </c>
      <c r="C143" s="1" t="n">
        <v>46170</v>
      </c>
      <c r="D143" t="inlineStr">
        <is>
          <t>VÄSTRA GÖTALANDS LÄN</t>
        </is>
      </c>
      <c r="E143" t="inlineStr">
        <is>
          <t>TÖREBODA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10598-2023</t>
        </is>
      </c>
      <c r="B144" s="1" t="n">
        <v>44988.39259259259</v>
      </c>
      <c r="C144" s="1" t="n">
        <v>46170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10430-2023</t>
        </is>
      </c>
      <c r="B145" s="1" t="n">
        <v>44987.54940972223</v>
      </c>
      <c r="C145" s="1" t="n">
        <v>46170</v>
      </c>
      <c r="D145" t="inlineStr">
        <is>
          <t>VÄSTRA GÖTALANDS LÄN</t>
        </is>
      </c>
      <c r="E145" t="inlineStr">
        <is>
          <t>TÖREBODA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10431-2023</t>
        </is>
      </c>
      <c r="B146" s="1" t="n">
        <v>44987.55047453703</v>
      </c>
      <c r="C146" s="1" t="n">
        <v>46170</v>
      </c>
      <c r="D146" t="inlineStr">
        <is>
          <t>VÄSTRA GÖTALANDS LÄN</t>
        </is>
      </c>
      <c r="E146" t="inlineStr">
        <is>
          <t>TÖREBODA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30591-2025</t>
        </is>
      </c>
      <c r="B147" s="1" t="n">
        <v>45831.43407407407</v>
      </c>
      <c r="C147" s="1" t="n">
        <v>46170</v>
      </c>
      <c r="D147" t="inlineStr">
        <is>
          <t>VÄSTRA GÖTALANDS LÄN</t>
        </is>
      </c>
      <c r="E147" t="inlineStr">
        <is>
          <t>TÖREBODA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58226-2022</t>
        </is>
      </c>
      <c r="B148" s="1" t="n">
        <v>44901.3806712963</v>
      </c>
      <c r="C148" s="1" t="n">
        <v>46170</v>
      </c>
      <c r="D148" t="inlineStr">
        <is>
          <t>VÄSTRA GÖTALANDS LÄN</t>
        </is>
      </c>
      <c r="E148" t="inlineStr">
        <is>
          <t>TÖREBODA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46135-2025</t>
        </is>
      </c>
      <c r="B149" s="1" t="n">
        <v>45924.59836805556</v>
      </c>
      <c r="C149" s="1" t="n">
        <v>46170</v>
      </c>
      <c r="D149" t="inlineStr">
        <is>
          <t>VÄSTRA GÖTALANDS LÄN</t>
        </is>
      </c>
      <c r="E149" t="inlineStr">
        <is>
          <t>TÖREBODA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55593-2025</t>
        </is>
      </c>
      <c r="B150" s="1" t="n">
        <v>45971</v>
      </c>
      <c r="C150" s="1" t="n">
        <v>46170</v>
      </c>
      <c r="D150" t="inlineStr">
        <is>
          <t>VÄSTRA GÖTALANDS LÄN</t>
        </is>
      </c>
      <c r="E150" t="inlineStr">
        <is>
          <t>TÖREBODA</t>
        </is>
      </c>
      <c r="G150" t="n">
        <v>20.8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46972-2025</t>
        </is>
      </c>
      <c r="B151" s="1" t="n">
        <v>45929.50880787037</v>
      </c>
      <c r="C151" s="1" t="n">
        <v>46170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55596-2025</t>
        </is>
      </c>
      <c r="B152" s="1" t="n">
        <v>45971</v>
      </c>
      <c r="C152" s="1" t="n">
        <v>46170</v>
      </c>
      <c r="D152" t="inlineStr">
        <is>
          <t>VÄSTRA GÖTALANDS LÄN</t>
        </is>
      </c>
      <c r="E152" t="inlineStr">
        <is>
          <t>TÖREBODA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32308-2025</t>
        </is>
      </c>
      <c r="B153" s="1" t="n">
        <v>45835.73509259259</v>
      </c>
      <c r="C153" s="1" t="n">
        <v>46170</v>
      </c>
      <c r="D153" t="inlineStr">
        <is>
          <t>VÄSTRA GÖTALANDS LÄN</t>
        </is>
      </c>
      <c r="E153" t="inlineStr">
        <is>
          <t>TÖREBODA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32155-2025</t>
        </is>
      </c>
      <c r="B154" s="1" t="n">
        <v>45835</v>
      </c>
      <c r="C154" s="1" t="n">
        <v>46170</v>
      </c>
      <c r="D154" t="inlineStr">
        <is>
          <t>VÄSTRA GÖTALANDS LÄN</t>
        </is>
      </c>
      <c r="E154" t="inlineStr">
        <is>
          <t>TÖREBODA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31660-2025</t>
        </is>
      </c>
      <c r="B155" s="1" t="n">
        <v>45834.35425925926</v>
      </c>
      <c r="C155" s="1" t="n">
        <v>46170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31661-2025</t>
        </is>
      </c>
      <c r="B156" s="1" t="n">
        <v>45834.35538194444</v>
      </c>
      <c r="C156" s="1" t="n">
        <v>46170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1981-2025</t>
        </is>
      </c>
      <c r="B157" s="1" t="n">
        <v>45665</v>
      </c>
      <c r="C157" s="1" t="n">
        <v>46170</v>
      </c>
      <c r="D157" t="inlineStr">
        <is>
          <t>VÄSTRA GÖTALANDS LÄN</t>
        </is>
      </c>
      <c r="E157" t="inlineStr">
        <is>
          <t>TÖREBODA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10833-2024</t>
        </is>
      </c>
      <c r="B158" s="1" t="n">
        <v>45369.72144675926</v>
      </c>
      <c r="C158" s="1" t="n">
        <v>46170</v>
      </c>
      <c r="D158" t="inlineStr">
        <is>
          <t>VÄSTRA GÖTALANDS LÄN</t>
        </is>
      </c>
      <c r="E158" t="inlineStr">
        <is>
          <t>TÖREBODA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39558-2024</t>
        </is>
      </c>
      <c r="B159" s="1" t="n">
        <v>45552.34012731481</v>
      </c>
      <c r="C159" s="1" t="n">
        <v>46170</v>
      </c>
      <c r="D159" t="inlineStr">
        <is>
          <t>VÄSTRA GÖTALANDS LÄN</t>
        </is>
      </c>
      <c r="E159" t="inlineStr">
        <is>
          <t>TÖREBODA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28044-2023</t>
        </is>
      </c>
      <c r="B160" s="1" t="n">
        <v>45099.32682870371</v>
      </c>
      <c r="C160" s="1" t="n">
        <v>46170</v>
      </c>
      <c r="D160" t="inlineStr">
        <is>
          <t>VÄSTRA GÖTALANDS LÄN</t>
        </is>
      </c>
      <c r="E160" t="inlineStr">
        <is>
          <t>TÖREBODA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33489-2025</t>
        </is>
      </c>
      <c r="B161" s="1" t="n">
        <v>45841.50584490741</v>
      </c>
      <c r="C161" s="1" t="n">
        <v>46170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33528-2025</t>
        </is>
      </c>
      <c r="B162" s="1" t="n">
        <v>45841.55050925926</v>
      </c>
      <c r="C162" s="1" t="n">
        <v>46170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55729-2025</t>
        </is>
      </c>
      <c r="B163" s="1" t="n">
        <v>45972.54129629629</v>
      </c>
      <c r="C163" s="1" t="n">
        <v>46170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33408-2025</t>
        </is>
      </c>
      <c r="B164" s="1" t="n">
        <v>45841.43224537037</v>
      </c>
      <c r="C164" s="1" t="n">
        <v>46170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33309-2025</t>
        </is>
      </c>
      <c r="B165" s="1" t="n">
        <v>45841.32841435185</v>
      </c>
      <c r="C165" s="1" t="n">
        <v>46170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33424-2025</t>
        </is>
      </c>
      <c r="B166" s="1" t="n">
        <v>45841.44478009259</v>
      </c>
      <c r="C166" s="1" t="n">
        <v>46170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33541-2025</t>
        </is>
      </c>
      <c r="B167" s="1" t="n">
        <v>45841</v>
      </c>
      <c r="C167" s="1" t="n">
        <v>46170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33530-2025</t>
        </is>
      </c>
      <c r="B168" s="1" t="n">
        <v>45841.55305555555</v>
      </c>
      <c r="C168" s="1" t="n">
        <v>46170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33331-2025</t>
        </is>
      </c>
      <c r="B169" s="1" t="n">
        <v>45841.35288194445</v>
      </c>
      <c r="C169" s="1" t="n">
        <v>46170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33534-2025</t>
        </is>
      </c>
      <c r="B170" s="1" t="n">
        <v>45841</v>
      </c>
      <c r="C170" s="1" t="n">
        <v>46170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33544-2025</t>
        </is>
      </c>
      <c r="B171" s="1" t="n">
        <v>45841.56569444444</v>
      </c>
      <c r="C171" s="1" t="n">
        <v>46170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33316-2025</t>
        </is>
      </c>
      <c r="B172" s="1" t="n">
        <v>45841.34233796296</v>
      </c>
      <c r="C172" s="1" t="n">
        <v>46170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33396-2025</t>
        </is>
      </c>
      <c r="B173" s="1" t="n">
        <v>45841.41972222222</v>
      </c>
      <c r="C173" s="1" t="n">
        <v>46170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49088-2025</t>
        </is>
      </c>
      <c r="B174" s="1" t="n">
        <v>45937.67055555555</v>
      </c>
      <c r="C174" s="1" t="n">
        <v>46170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49171-2025</t>
        </is>
      </c>
      <c r="B175" s="1" t="n">
        <v>45938.37202546297</v>
      </c>
      <c r="C175" s="1" t="n">
        <v>46170</v>
      </c>
      <c r="D175" t="inlineStr">
        <is>
          <t>VÄSTRA GÖTALANDS LÄN</t>
        </is>
      </c>
      <c r="E175" t="inlineStr">
        <is>
          <t>TÖREBODA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49177-2025</t>
        </is>
      </c>
      <c r="B176" s="1" t="n">
        <v>45938.38199074074</v>
      </c>
      <c r="C176" s="1" t="n">
        <v>46170</v>
      </c>
      <c r="D176" t="inlineStr">
        <is>
          <t>VÄSTRA GÖTALANDS LÄN</t>
        </is>
      </c>
      <c r="E176" t="inlineStr">
        <is>
          <t>TÖREBODA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49180-2025</t>
        </is>
      </c>
      <c r="B177" s="1" t="n">
        <v>45938.3859375</v>
      </c>
      <c r="C177" s="1" t="n">
        <v>46170</v>
      </c>
      <c r="D177" t="inlineStr">
        <is>
          <t>VÄSTRA GÖTALANDS LÄN</t>
        </is>
      </c>
      <c r="E177" t="inlineStr">
        <is>
          <t>TÖREBODA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55652-2025</t>
        </is>
      </c>
      <c r="B178" s="1" t="n">
        <v>45972.37239583334</v>
      </c>
      <c r="C178" s="1" t="n">
        <v>46170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55656-2025</t>
        </is>
      </c>
      <c r="B179" s="1" t="n">
        <v>45972.39038194445</v>
      </c>
      <c r="C179" s="1" t="n">
        <v>46170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Sveaskog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49169-2025</t>
        </is>
      </c>
      <c r="B180" s="1" t="n">
        <v>45938.36971064815</v>
      </c>
      <c r="C180" s="1" t="n">
        <v>46170</v>
      </c>
      <c r="D180" t="inlineStr">
        <is>
          <t>VÄSTRA GÖTALANDS LÄN</t>
        </is>
      </c>
      <c r="E180" t="inlineStr">
        <is>
          <t>TÖREBODA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55669-2025</t>
        </is>
      </c>
      <c r="B181" s="1" t="n">
        <v>45972.4053587963</v>
      </c>
      <c r="C181" s="1" t="n">
        <v>46170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18845-2025</t>
        </is>
      </c>
      <c r="B182" s="1" t="n">
        <v>45764.41078703704</v>
      </c>
      <c r="C182" s="1" t="n">
        <v>46170</v>
      </c>
      <c r="D182" t="inlineStr">
        <is>
          <t>VÄSTRA GÖTALANDS LÄN</t>
        </is>
      </c>
      <c r="E182" t="inlineStr">
        <is>
          <t>TÖREBODA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49670-2025</t>
        </is>
      </c>
      <c r="B183" s="1" t="n">
        <v>45939.63877314814</v>
      </c>
      <c r="C183" s="1" t="n">
        <v>46170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55766-2025</t>
        </is>
      </c>
      <c r="B184" s="1" t="n">
        <v>45972.61072916666</v>
      </c>
      <c r="C184" s="1" t="n">
        <v>46170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55648-2025</t>
        </is>
      </c>
      <c r="B185" s="1" t="n">
        <v>45972.37070601852</v>
      </c>
      <c r="C185" s="1" t="n">
        <v>46170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49085-2025</t>
        </is>
      </c>
      <c r="B186" s="1" t="n">
        <v>45937.66828703704</v>
      </c>
      <c r="C186" s="1" t="n">
        <v>46170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28965-2022</t>
        </is>
      </c>
      <c r="B187" s="1" t="n">
        <v>44749</v>
      </c>
      <c r="C187" s="1" t="n">
        <v>46170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10442-2025</t>
        </is>
      </c>
      <c r="B188" s="1" t="n">
        <v>45720</v>
      </c>
      <c r="C188" s="1" t="n">
        <v>46170</v>
      </c>
      <c r="D188" t="inlineStr">
        <is>
          <t>VÄSTRA GÖTALANDS LÄN</t>
        </is>
      </c>
      <c r="E188" t="inlineStr">
        <is>
          <t>TÖREBODA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14550-2025</t>
        </is>
      </c>
      <c r="B189" s="1" t="n">
        <v>45741.70502314815</v>
      </c>
      <c r="C189" s="1" t="n">
        <v>46170</v>
      </c>
      <c r="D189" t="inlineStr">
        <is>
          <t>VÄSTRA GÖTALANDS LÄN</t>
        </is>
      </c>
      <c r="E189" t="inlineStr">
        <is>
          <t>TÖREBODA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24355-2024</t>
        </is>
      </c>
      <c r="B190" s="1" t="n">
        <v>45457.59540509259</v>
      </c>
      <c r="C190" s="1" t="n">
        <v>46170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Övriga statliga verk och myndigheter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27231-2023</t>
        </is>
      </c>
      <c r="B191" s="1" t="n">
        <v>45096.59550925926</v>
      </c>
      <c r="C191" s="1" t="n">
        <v>46170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Övriga statliga verk och myndigheter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18948-2022</t>
        </is>
      </c>
      <c r="B192" s="1" t="n">
        <v>44690.68015046296</v>
      </c>
      <c r="C192" s="1" t="n">
        <v>46170</v>
      </c>
      <c r="D192" t="inlineStr">
        <is>
          <t>VÄSTRA GÖTALANDS LÄN</t>
        </is>
      </c>
      <c r="E192" t="inlineStr">
        <is>
          <t>TÖREBODA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10355-2025</t>
        </is>
      </c>
      <c r="B193" s="1" t="n">
        <v>45720</v>
      </c>
      <c r="C193" s="1" t="n">
        <v>46170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56273-2022</t>
        </is>
      </c>
      <c r="B194" s="1" t="n">
        <v>44890</v>
      </c>
      <c r="C194" s="1" t="n">
        <v>46170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12.6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3508-2023</t>
        </is>
      </c>
      <c r="B195" s="1" t="n">
        <v>44950.31137731481</v>
      </c>
      <c r="C195" s="1" t="n">
        <v>46170</v>
      </c>
      <c r="D195" t="inlineStr">
        <is>
          <t>VÄSTRA GÖTALANDS LÄN</t>
        </is>
      </c>
      <c r="E195" t="inlineStr">
        <is>
          <t>TÖREBODA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26759-2022</t>
        </is>
      </c>
      <c r="B196" s="1" t="n">
        <v>44740.29990740741</v>
      </c>
      <c r="C196" s="1" t="n">
        <v>46170</v>
      </c>
      <c r="D196" t="inlineStr">
        <is>
          <t>VÄSTRA GÖTALANDS LÄN</t>
        </is>
      </c>
      <c r="E196" t="inlineStr">
        <is>
          <t>TÖREBODA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56614-2024</t>
        </is>
      </c>
      <c r="B197" s="1" t="n">
        <v>45625</v>
      </c>
      <c r="C197" s="1" t="n">
        <v>46170</v>
      </c>
      <c r="D197" t="inlineStr">
        <is>
          <t>VÄSTRA GÖTALANDS LÄN</t>
        </is>
      </c>
      <c r="E197" t="inlineStr">
        <is>
          <t>TÖREBODA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56831-2022</t>
        </is>
      </c>
      <c r="B198" s="1" t="n">
        <v>44894</v>
      </c>
      <c r="C198" s="1" t="n">
        <v>46170</v>
      </c>
      <c r="D198" t="inlineStr">
        <is>
          <t>VÄSTRA GÖTALANDS LÄN</t>
        </is>
      </c>
      <c r="E198" t="inlineStr">
        <is>
          <t>TÖREBODA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56131-2025</t>
        </is>
      </c>
      <c r="B199" s="1" t="n">
        <v>45974.30063657407</v>
      </c>
      <c r="C199" s="1" t="n">
        <v>46170</v>
      </c>
      <c r="D199" t="inlineStr">
        <is>
          <t>VÄSTRA GÖTALANDS LÄN</t>
        </is>
      </c>
      <c r="E199" t="inlineStr">
        <is>
          <t>TÖREBODA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56132-2025</t>
        </is>
      </c>
      <c r="B200" s="1" t="n">
        <v>45974.30472222222</v>
      </c>
      <c r="C200" s="1" t="n">
        <v>46170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56684-2024</t>
        </is>
      </c>
      <c r="B201" s="1" t="n">
        <v>45627.58121527778</v>
      </c>
      <c r="C201" s="1" t="n">
        <v>46170</v>
      </c>
      <c r="D201" t="inlineStr">
        <is>
          <t>VÄSTRA GÖTALANDS LÄN</t>
        </is>
      </c>
      <c r="E201" t="inlineStr">
        <is>
          <t>TÖREBODA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56133-2025</t>
        </is>
      </c>
      <c r="B202" s="1" t="n">
        <v>45974.30938657407</v>
      </c>
      <c r="C202" s="1" t="n">
        <v>46170</v>
      </c>
      <c r="D202" t="inlineStr">
        <is>
          <t>VÄSTRA GÖTALANDS LÄN</t>
        </is>
      </c>
      <c r="E202" t="inlineStr">
        <is>
          <t>TÖREBODA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7093-2024</t>
        </is>
      </c>
      <c r="B203" s="1" t="n">
        <v>45343</v>
      </c>
      <c r="C203" s="1" t="n">
        <v>46170</v>
      </c>
      <c r="D203" t="inlineStr">
        <is>
          <t>VÄSTRA GÖTALANDS LÄN</t>
        </is>
      </c>
      <c r="E203" t="inlineStr">
        <is>
          <t>TÖREBODA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45161-2023</t>
        </is>
      </c>
      <c r="B204" s="1" t="n">
        <v>45191.49090277778</v>
      </c>
      <c r="C204" s="1" t="n">
        <v>46170</v>
      </c>
      <c r="D204" t="inlineStr">
        <is>
          <t>VÄSTRA GÖTALANDS LÄN</t>
        </is>
      </c>
      <c r="E204" t="inlineStr">
        <is>
          <t>TÖREBODA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6578-2024</t>
        </is>
      </c>
      <c r="B205" s="1" t="n">
        <v>45341</v>
      </c>
      <c r="C205" s="1" t="n">
        <v>46170</v>
      </c>
      <c r="D205" t="inlineStr">
        <is>
          <t>VÄSTRA GÖTALANDS LÄN</t>
        </is>
      </c>
      <c r="E205" t="inlineStr">
        <is>
          <t>TÖREBODA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60268-2024</t>
        </is>
      </c>
      <c r="B206" s="1" t="n">
        <v>45642.86667824074</v>
      </c>
      <c r="C206" s="1" t="n">
        <v>46170</v>
      </c>
      <c r="D206" t="inlineStr">
        <is>
          <t>VÄSTRA GÖTALANDS LÄN</t>
        </is>
      </c>
      <c r="E206" t="inlineStr">
        <is>
          <t>TÖREBODA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29023-2024</t>
        </is>
      </c>
      <c r="B207" s="1" t="n">
        <v>45481.5821875</v>
      </c>
      <c r="C207" s="1" t="n">
        <v>46170</v>
      </c>
      <c r="D207" t="inlineStr">
        <is>
          <t>VÄSTRA GÖTALANDS LÄN</t>
        </is>
      </c>
      <c r="E207" t="inlineStr">
        <is>
          <t>TÖREBODA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8315-2024</t>
        </is>
      </c>
      <c r="B208" s="1" t="n">
        <v>45350</v>
      </c>
      <c r="C208" s="1" t="n">
        <v>46170</v>
      </c>
      <c r="D208" t="inlineStr">
        <is>
          <t>VÄSTRA GÖTALANDS LÄN</t>
        </is>
      </c>
      <c r="E208" t="inlineStr">
        <is>
          <t>TÖREBODA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317-2024</t>
        </is>
      </c>
      <c r="B209" s="1" t="n">
        <v>45295</v>
      </c>
      <c r="C209" s="1" t="n">
        <v>46170</v>
      </c>
      <c r="D209" t="inlineStr">
        <is>
          <t>VÄSTRA GÖTALANDS LÄN</t>
        </is>
      </c>
      <c r="E209" t="inlineStr">
        <is>
          <t>TÖREBODA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10448-2025</t>
        </is>
      </c>
      <c r="B210" s="1" t="n">
        <v>45720</v>
      </c>
      <c r="C210" s="1" t="n">
        <v>46170</v>
      </c>
      <c r="D210" t="inlineStr">
        <is>
          <t>VÄSTRA GÖTALANDS LÄN</t>
        </is>
      </c>
      <c r="E210" t="inlineStr">
        <is>
          <t>TÖREBODA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9655-2023</t>
        </is>
      </c>
      <c r="B211" s="1" t="n">
        <v>44978</v>
      </c>
      <c r="C211" s="1" t="n">
        <v>46170</v>
      </c>
      <c r="D211" t="inlineStr">
        <is>
          <t>VÄSTRA GÖTALANDS LÄN</t>
        </is>
      </c>
      <c r="E211" t="inlineStr">
        <is>
          <t>TÖREBODA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62521-2022</t>
        </is>
      </c>
      <c r="B212" s="1" t="n">
        <v>44924.63210648148</v>
      </c>
      <c r="C212" s="1" t="n">
        <v>46170</v>
      </c>
      <c r="D212" t="inlineStr">
        <is>
          <t>VÄSTRA GÖTALANDS LÄN</t>
        </is>
      </c>
      <c r="E212" t="inlineStr">
        <is>
          <t>TÖREBODA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54459-2023</t>
        </is>
      </c>
      <c r="B213" s="1" t="n">
        <v>45233.45410879629</v>
      </c>
      <c r="C213" s="1" t="n">
        <v>46170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44756.48106481481</v>
      </c>
      <c r="C214" s="1" t="n">
        <v>46170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48957-2022</t>
        </is>
      </c>
      <c r="B215" s="1" t="n">
        <v>44860.31002314815</v>
      </c>
      <c r="C215" s="1" t="n">
        <v>46170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38287-2025</t>
        </is>
      </c>
      <c r="B216" s="1" t="n">
        <v>45882</v>
      </c>
      <c r="C216" s="1" t="n">
        <v>46170</v>
      </c>
      <c r="D216" t="inlineStr">
        <is>
          <t>VÄSTRA GÖTALANDS LÄN</t>
        </is>
      </c>
      <c r="E216" t="inlineStr">
        <is>
          <t>TÖREBODA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60267-2024</t>
        </is>
      </c>
      <c r="B217" s="1" t="n">
        <v>45642.86611111111</v>
      </c>
      <c r="C217" s="1" t="n">
        <v>46170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34865-2023</t>
        </is>
      </c>
      <c r="B218" s="1" t="n">
        <v>45142.3334837963</v>
      </c>
      <c r="C218" s="1" t="n">
        <v>46170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39659-2024</t>
        </is>
      </c>
      <c r="B219" s="1" t="n">
        <v>45552.4934375</v>
      </c>
      <c r="C219" s="1" t="n">
        <v>46170</v>
      </c>
      <c r="D219" t="inlineStr">
        <is>
          <t>VÄSTRA GÖTALANDS LÄN</t>
        </is>
      </c>
      <c r="E219" t="inlineStr">
        <is>
          <t>TÖREBODA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45649-2024</t>
        </is>
      </c>
      <c r="B220" s="1" t="n">
        <v>45579.48623842592</v>
      </c>
      <c r="C220" s="1" t="n">
        <v>46170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15086-2024</t>
        </is>
      </c>
      <c r="B221" s="1" t="n">
        <v>45399.63689814815</v>
      </c>
      <c r="C221" s="1" t="n">
        <v>46170</v>
      </c>
      <c r="D221" t="inlineStr">
        <is>
          <t>VÄSTRA GÖTALANDS LÄN</t>
        </is>
      </c>
      <c r="E221" t="inlineStr">
        <is>
          <t>TÖREBODA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39621-2024</t>
        </is>
      </c>
      <c r="B222" s="1" t="n">
        <v>45552.43295138889</v>
      </c>
      <c r="C222" s="1" t="n">
        <v>46170</v>
      </c>
      <c r="D222" t="inlineStr">
        <is>
          <t>VÄSTRA GÖTALANDS LÄN</t>
        </is>
      </c>
      <c r="E222" t="inlineStr">
        <is>
          <t>TÖREBODA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58213-2022</t>
        </is>
      </c>
      <c r="B223" s="1" t="n">
        <v>44901.36065972222</v>
      </c>
      <c r="C223" s="1" t="n">
        <v>46170</v>
      </c>
      <c r="D223" t="inlineStr">
        <is>
          <t>VÄSTRA GÖTALANDS LÄN</t>
        </is>
      </c>
      <c r="E223" t="inlineStr">
        <is>
          <t>TÖREBODA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38705-2025</t>
        </is>
      </c>
      <c r="B224" s="1" t="n">
        <v>45885.44560185185</v>
      </c>
      <c r="C224" s="1" t="n">
        <v>46170</v>
      </c>
      <c r="D224" t="inlineStr">
        <is>
          <t>VÄSTRA GÖTALANDS LÄN</t>
        </is>
      </c>
      <c r="E224" t="inlineStr">
        <is>
          <t>TÖREBODA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38706-2025</t>
        </is>
      </c>
      <c r="B225" s="1" t="n">
        <v>45885.4540162037</v>
      </c>
      <c r="C225" s="1" t="n">
        <v>46170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62542-2022</t>
        </is>
      </c>
      <c r="B226" s="1" t="n">
        <v>44924.68337962963</v>
      </c>
      <c r="C226" s="1" t="n">
        <v>46170</v>
      </c>
      <c r="D226" t="inlineStr">
        <is>
          <t>VÄSTRA GÖTALANDS LÄN</t>
        </is>
      </c>
      <c r="E226" t="inlineStr">
        <is>
          <t>TÖREBODA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54734-2023</t>
        </is>
      </c>
      <c r="B227" s="1" t="n">
        <v>45236.38694444444</v>
      </c>
      <c r="C227" s="1" t="n">
        <v>46170</v>
      </c>
      <c r="D227" t="inlineStr">
        <is>
          <t>VÄSTRA GÖTALANDS LÄN</t>
        </is>
      </c>
      <c r="E227" t="inlineStr">
        <is>
          <t>TÖREBODA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17188-2025</t>
        </is>
      </c>
      <c r="B228" s="1" t="n">
        <v>45756.39010416667</v>
      </c>
      <c r="C228" s="1" t="n">
        <v>46170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58123-2022</t>
        </is>
      </c>
      <c r="B229" s="1" t="n">
        <v>44900.66938657407</v>
      </c>
      <c r="C229" s="1" t="n">
        <v>46170</v>
      </c>
      <c r="D229" t="inlineStr">
        <is>
          <t>VÄSTRA GÖTALANDS LÄN</t>
        </is>
      </c>
      <c r="E229" t="inlineStr">
        <is>
          <t>TÖREBODA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6162-2023</t>
        </is>
      </c>
      <c r="B230" s="1" t="n">
        <v>44964.66091435185</v>
      </c>
      <c r="C230" s="1" t="n">
        <v>46170</v>
      </c>
      <c r="D230" t="inlineStr">
        <is>
          <t>VÄSTRA GÖTALANDS LÄN</t>
        </is>
      </c>
      <c r="E230" t="inlineStr">
        <is>
          <t>TÖREBODA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54565-2025</t>
        </is>
      </c>
      <c r="B231" s="1" t="n">
        <v>45965</v>
      </c>
      <c r="C231" s="1" t="n">
        <v>46170</v>
      </c>
      <c r="D231" t="inlineStr">
        <is>
          <t>VÄSTRA GÖTALANDS LÄN</t>
        </is>
      </c>
      <c r="E231" t="inlineStr">
        <is>
          <t>TÖREBODA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35232-2024</t>
        </is>
      </c>
      <c r="B232" s="1" t="n">
        <v>45530.53361111111</v>
      </c>
      <c r="C232" s="1" t="n">
        <v>46170</v>
      </c>
      <c r="D232" t="inlineStr">
        <is>
          <t>VÄSTRA GÖTALANDS LÄN</t>
        </is>
      </c>
      <c r="E232" t="inlineStr">
        <is>
          <t>TÖREBODA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4708-2024</t>
        </is>
      </c>
      <c r="B233" s="1" t="n">
        <v>45328</v>
      </c>
      <c r="C233" s="1" t="n">
        <v>46170</v>
      </c>
      <c r="D233" t="inlineStr">
        <is>
          <t>VÄSTRA GÖTALANDS LÄN</t>
        </is>
      </c>
      <c r="E233" t="inlineStr">
        <is>
          <t>TÖREBODA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9651-2023</t>
        </is>
      </c>
      <c r="B234" s="1" t="n">
        <v>44978</v>
      </c>
      <c r="C234" s="1" t="n">
        <v>46170</v>
      </c>
      <c r="D234" t="inlineStr">
        <is>
          <t>VÄSTRA GÖTALANDS LÄN</t>
        </is>
      </c>
      <c r="E234" t="inlineStr">
        <is>
          <t>TÖREBODA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56805-2023</t>
        </is>
      </c>
      <c r="B235" s="1" t="n">
        <v>45244</v>
      </c>
      <c r="C235" s="1" t="n">
        <v>46170</v>
      </c>
      <c r="D235" t="inlineStr">
        <is>
          <t>VÄSTRA GÖTALANDS LÄN</t>
        </is>
      </c>
      <c r="E235" t="inlineStr">
        <is>
          <t>TÖREBODA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22048-2024</t>
        </is>
      </c>
      <c r="B236" s="1" t="n">
        <v>45443</v>
      </c>
      <c r="C236" s="1" t="n">
        <v>46170</v>
      </c>
      <c r="D236" t="inlineStr">
        <is>
          <t>VÄSTRA GÖTALANDS LÄN</t>
        </is>
      </c>
      <c r="E236" t="inlineStr">
        <is>
          <t>TÖREBODA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47319-2022</t>
        </is>
      </c>
      <c r="B237" s="1" t="n">
        <v>44853.35390046296</v>
      </c>
      <c r="C237" s="1" t="n">
        <v>46170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35239-2023</t>
        </is>
      </c>
      <c r="B238" s="1" t="n">
        <v>45145.74783564815</v>
      </c>
      <c r="C238" s="1" t="n">
        <v>46170</v>
      </c>
      <c r="D238" t="inlineStr">
        <is>
          <t>VÄSTRA GÖTALANDS LÄN</t>
        </is>
      </c>
      <c r="E238" t="inlineStr">
        <is>
          <t>TÖREBODA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39798-2024</t>
        </is>
      </c>
      <c r="B239" s="1" t="n">
        <v>45553.33733796296</v>
      </c>
      <c r="C239" s="1" t="n">
        <v>46170</v>
      </c>
      <c r="D239" t="inlineStr">
        <is>
          <t>VÄSTRA GÖTALANDS LÄN</t>
        </is>
      </c>
      <c r="E239" t="inlineStr">
        <is>
          <t>TÖREBODA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24349-2023</t>
        </is>
      </c>
      <c r="B240" s="1" t="n">
        <v>45082.31181712963</v>
      </c>
      <c r="C240" s="1" t="n">
        <v>46170</v>
      </c>
      <c r="D240" t="inlineStr">
        <is>
          <t>VÄSTRA GÖTALANDS LÄN</t>
        </is>
      </c>
      <c r="E240" t="inlineStr">
        <is>
          <t>TÖREBODA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24358-2023</t>
        </is>
      </c>
      <c r="B241" s="1" t="n">
        <v>45082.32069444445</v>
      </c>
      <c r="C241" s="1" t="n">
        <v>46170</v>
      </c>
      <c r="D241" t="inlineStr">
        <is>
          <t>VÄSTRA GÖTALANDS LÄN</t>
        </is>
      </c>
      <c r="E241" t="inlineStr">
        <is>
          <t>TÖREBODA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62980-2025</t>
        </is>
      </c>
      <c r="B242" s="1" t="n">
        <v>46009.489375</v>
      </c>
      <c r="C242" s="1" t="n">
        <v>46170</v>
      </c>
      <c r="D242" t="inlineStr">
        <is>
          <t>VÄSTRA GÖTALANDS LÄN</t>
        </is>
      </c>
      <c r="E242" t="inlineStr">
        <is>
          <t>TÖREBODA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63133-2025</t>
        </is>
      </c>
      <c r="B243" s="1" t="n">
        <v>46010.30141203704</v>
      </c>
      <c r="C243" s="1" t="n">
        <v>46170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16007-2024</t>
        </is>
      </c>
      <c r="B244" s="1" t="n">
        <v>45405.63997685185</v>
      </c>
      <c r="C244" s="1" t="n">
        <v>46170</v>
      </c>
      <c r="D244" t="inlineStr">
        <is>
          <t>VÄSTRA GÖTALANDS LÄN</t>
        </is>
      </c>
      <c r="E244" t="inlineStr">
        <is>
          <t>TÖREBODA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8402-2024</t>
        </is>
      </c>
      <c r="B245" s="1" t="n">
        <v>45352.78115740741</v>
      </c>
      <c r="C245" s="1" t="n">
        <v>46170</v>
      </c>
      <c r="D245" t="inlineStr">
        <is>
          <t>VÄSTRA GÖTALANDS LÄN</t>
        </is>
      </c>
      <c r="E245" t="inlineStr">
        <is>
          <t>TÖREBODA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62782-2023</t>
        </is>
      </c>
      <c r="B246" s="1" t="n">
        <v>45268</v>
      </c>
      <c r="C246" s="1" t="n">
        <v>46170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7676-2025</t>
        </is>
      </c>
      <c r="B247" s="1" t="n">
        <v>45706.35903935185</v>
      </c>
      <c r="C247" s="1" t="n">
        <v>46170</v>
      </c>
      <c r="D247" t="inlineStr">
        <is>
          <t>VÄSTRA GÖTALANDS LÄN</t>
        </is>
      </c>
      <c r="E247" t="inlineStr">
        <is>
          <t>TÖREBODA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10592-2025</t>
        </is>
      </c>
      <c r="B248" s="1" t="n">
        <v>45721.5662962963</v>
      </c>
      <c r="C248" s="1" t="n">
        <v>46170</v>
      </c>
      <c r="D248" t="inlineStr">
        <is>
          <t>VÄSTRA GÖTALANDS LÄN</t>
        </is>
      </c>
      <c r="E248" t="inlineStr">
        <is>
          <t>TÖREBODA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39797-2024</t>
        </is>
      </c>
      <c r="B249" s="1" t="n">
        <v>45553.3358912037</v>
      </c>
      <c r="C249" s="1" t="n">
        <v>46170</v>
      </c>
      <c r="D249" t="inlineStr">
        <is>
          <t>VÄSTRA GÖTALANDS LÄN</t>
        </is>
      </c>
      <c r="E249" t="inlineStr">
        <is>
          <t>TÖREBODA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7826-2024</t>
        </is>
      </c>
      <c r="B250" s="1" t="n">
        <v>45349.74234953704</v>
      </c>
      <c r="C250" s="1" t="n">
        <v>46170</v>
      </c>
      <c r="D250" t="inlineStr">
        <is>
          <t>VÄSTRA GÖTALANDS LÄN</t>
        </is>
      </c>
      <c r="E250" t="inlineStr">
        <is>
          <t>TÖREBODA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40542-2024</t>
        </is>
      </c>
      <c r="B251" s="1" t="n">
        <v>45555.63206018518</v>
      </c>
      <c r="C251" s="1" t="n">
        <v>46170</v>
      </c>
      <c r="D251" t="inlineStr">
        <is>
          <t>VÄSTRA GÖTALANDS LÄN</t>
        </is>
      </c>
      <c r="E251" t="inlineStr">
        <is>
          <t>TÖREBODA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907-2025</t>
        </is>
      </c>
      <c r="B252" s="1" t="n">
        <v>45664</v>
      </c>
      <c r="C252" s="1" t="n">
        <v>46170</v>
      </c>
      <c r="D252" t="inlineStr">
        <is>
          <t>VÄSTRA GÖTALANDS LÄN</t>
        </is>
      </c>
      <c r="E252" t="inlineStr">
        <is>
          <t>TÖREBODA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24545-2024</t>
        </is>
      </c>
      <c r="B253" s="1" t="n">
        <v>45460.39697916667</v>
      </c>
      <c r="C253" s="1" t="n">
        <v>46170</v>
      </c>
      <c r="D253" t="inlineStr">
        <is>
          <t>VÄSTRA GÖTALANDS LÄN</t>
        </is>
      </c>
      <c r="E253" t="inlineStr">
        <is>
          <t>TÖREBODA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16703-2025</t>
        </is>
      </c>
      <c r="B254" s="1" t="n">
        <v>45754.46989583333</v>
      </c>
      <c r="C254" s="1" t="n">
        <v>46170</v>
      </c>
      <c r="D254" t="inlineStr">
        <is>
          <t>VÄSTRA GÖTALANDS LÄN</t>
        </is>
      </c>
      <c r="E254" t="inlineStr">
        <is>
          <t>TÖREBODA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4300-2025</t>
        </is>
      </c>
      <c r="B255" s="1" t="n">
        <v>45685</v>
      </c>
      <c r="C255" s="1" t="n">
        <v>46170</v>
      </c>
      <c r="D255" t="inlineStr">
        <is>
          <t>VÄSTRA GÖTALANDS LÄN</t>
        </is>
      </c>
      <c r="E255" t="inlineStr">
        <is>
          <t>TÖREBODA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63113-2023</t>
        </is>
      </c>
      <c r="B256" s="1" t="n">
        <v>45273.43495370371</v>
      </c>
      <c r="C256" s="1" t="n">
        <v>46170</v>
      </c>
      <c r="D256" t="inlineStr">
        <is>
          <t>VÄSTRA GÖTALANDS LÄN</t>
        </is>
      </c>
      <c r="E256" t="inlineStr">
        <is>
          <t>TÖREBODA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35487-2024</t>
        </is>
      </c>
      <c r="B257" s="1" t="n">
        <v>45531</v>
      </c>
      <c r="C257" s="1" t="n">
        <v>46170</v>
      </c>
      <c r="D257" t="inlineStr">
        <is>
          <t>VÄSTRA GÖTALANDS LÄN</t>
        </is>
      </c>
      <c r="E257" t="inlineStr">
        <is>
          <t>TÖREBODA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38266-2021</t>
        </is>
      </c>
      <c r="B258" s="1" t="n">
        <v>44405.86967592593</v>
      </c>
      <c r="C258" s="1" t="n">
        <v>46170</v>
      </c>
      <c r="D258" t="inlineStr">
        <is>
          <t>VÄSTRA GÖTALANDS LÄN</t>
        </is>
      </c>
      <c r="E258" t="inlineStr">
        <is>
          <t>TÖREBODA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17187-2025</t>
        </is>
      </c>
      <c r="B259" s="1" t="n">
        <v>45756.38744212963</v>
      </c>
      <c r="C259" s="1" t="n">
        <v>46170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97-2026</t>
        </is>
      </c>
      <c r="B260" s="1" t="n">
        <v>46017</v>
      </c>
      <c r="C260" s="1" t="n">
        <v>46170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108-2026</t>
        </is>
      </c>
      <c r="B261" s="1" t="n">
        <v>46017</v>
      </c>
      <c r="C261" s="1" t="n">
        <v>46170</v>
      </c>
      <c r="D261" t="inlineStr">
        <is>
          <t>VÄSTRA GÖTALANDS LÄN</t>
        </is>
      </c>
      <c r="E261" t="inlineStr">
        <is>
          <t>TÖREBODA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27251-2023</t>
        </is>
      </c>
      <c r="B262" s="1" t="n">
        <v>45096</v>
      </c>
      <c r="C262" s="1" t="n">
        <v>46170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Övriga statliga verk och myndigheter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59315-2024</t>
        </is>
      </c>
      <c r="B263" s="1" t="n">
        <v>45637.68884259259</v>
      </c>
      <c r="C263" s="1" t="n">
        <v>46170</v>
      </c>
      <c r="D263" t="inlineStr">
        <is>
          <t>VÄSTRA GÖTALANDS LÄN</t>
        </is>
      </c>
      <c r="E263" t="inlineStr">
        <is>
          <t>TÖREBODA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7680-2023</t>
        </is>
      </c>
      <c r="B264" s="1" t="n">
        <v>44972</v>
      </c>
      <c r="C264" s="1" t="n">
        <v>46170</v>
      </c>
      <c r="D264" t="inlineStr">
        <is>
          <t>VÄSTRA GÖTALANDS LÄN</t>
        </is>
      </c>
      <c r="E264" t="inlineStr">
        <is>
          <t>TÖREBODA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56682-2024</t>
        </is>
      </c>
      <c r="B265" s="1" t="n">
        <v>45627.57983796296</v>
      </c>
      <c r="C265" s="1" t="n">
        <v>46170</v>
      </c>
      <c r="D265" t="inlineStr">
        <is>
          <t>VÄSTRA GÖTALANDS LÄN</t>
        </is>
      </c>
      <c r="E265" t="inlineStr">
        <is>
          <t>TÖREBODA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34436-2022</t>
        </is>
      </c>
      <c r="B266" s="1" t="n">
        <v>44792</v>
      </c>
      <c r="C266" s="1" t="n">
        <v>46170</v>
      </c>
      <c r="D266" t="inlineStr">
        <is>
          <t>VÄSTRA GÖTALANDS LÄN</t>
        </is>
      </c>
      <c r="E266" t="inlineStr">
        <is>
          <t>TÖREBODA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37837-2023</t>
        </is>
      </c>
      <c r="B267" s="1" t="n">
        <v>45156</v>
      </c>
      <c r="C267" s="1" t="n">
        <v>46170</v>
      </c>
      <c r="D267" t="inlineStr">
        <is>
          <t>VÄSTRA GÖTALANDS LÄN</t>
        </is>
      </c>
      <c r="E267" t="inlineStr">
        <is>
          <t>TÖREBODA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3968-2024</t>
        </is>
      </c>
      <c r="B268" s="1" t="n">
        <v>45322.71071759259</v>
      </c>
      <c r="C268" s="1" t="n">
        <v>46170</v>
      </c>
      <c r="D268" t="inlineStr">
        <is>
          <t>VÄSTRA GÖTALANDS LÄN</t>
        </is>
      </c>
      <c r="E268" t="inlineStr">
        <is>
          <t>TÖREBODA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11683-2024</t>
        </is>
      </c>
      <c r="B269" s="1" t="n">
        <v>45373</v>
      </c>
      <c r="C269" s="1" t="n">
        <v>46170</v>
      </c>
      <c r="D269" t="inlineStr">
        <is>
          <t>VÄSTRA GÖTALANDS LÄN</t>
        </is>
      </c>
      <c r="E269" t="inlineStr">
        <is>
          <t>TÖREBODA</t>
        </is>
      </c>
      <c r="G269" t="n">
        <v>23.8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57984-2022</t>
        </is>
      </c>
      <c r="B270" s="1" t="n">
        <v>44900</v>
      </c>
      <c r="C270" s="1" t="n">
        <v>46170</v>
      </c>
      <c r="D270" t="inlineStr">
        <is>
          <t>VÄSTRA GÖTALANDS LÄN</t>
        </is>
      </c>
      <c r="E270" t="inlineStr">
        <is>
          <t>TÖREBODA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51040-2022</t>
        </is>
      </c>
      <c r="B271" s="1" t="n">
        <v>44868.3232175926</v>
      </c>
      <c r="C271" s="1" t="n">
        <v>46170</v>
      </c>
      <c r="D271" t="inlineStr">
        <is>
          <t>VÄSTRA GÖTALANDS LÄN</t>
        </is>
      </c>
      <c r="E271" t="inlineStr">
        <is>
          <t>TÖREBODA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19256-2023</t>
        </is>
      </c>
      <c r="B272" s="1" t="n">
        <v>45049</v>
      </c>
      <c r="C272" s="1" t="n">
        <v>46170</v>
      </c>
      <c r="D272" t="inlineStr">
        <is>
          <t>VÄSTRA GÖTALANDS LÄN</t>
        </is>
      </c>
      <c r="E272" t="inlineStr">
        <is>
          <t>TÖREBODA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16267-2025</t>
        </is>
      </c>
      <c r="B273" s="1" t="n">
        <v>45750.82100694445</v>
      </c>
      <c r="C273" s="1" t="n">
        <v>46170</v>
      </c>
      <c r="D273" t="inlineStr">
        <is>
          <t>VÄSTRA GÖTALANDS LÄN</t>
        </is>
      </c>
      <c r="E273" t="inlineStr">
        <is>
          <t>TÖREBODA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6970-2026</t>
        </is>
      </c>
      <c r="B274" s="1" t="n">
        <v>46057.59109953704</v>
      </c>
      <c r="C274" s="1" t="n">
        <v>46170</v>
      </c>
      <c r="D274" t="inlineStr">
        <is>
          <t>VÄSTRA GÖTALANDS LÄN</t>
        </is>
      </c>
      <c r="E274" t="inlineStr">
        <is>
          <t>TÖREBODA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10635-2025</t>
        </is>
      </c>
      <c r="B275" s="1" t="n">
        <v>45721</v>
      </c>
      <c r="C275" s="1" t="n">
        <v>46170</v>
      </c>
      <c r="D275" t="inlineStr">
        <is>
          <t>VÄSTRA GÖTALANDS LÄN</t>
        </is>
      </c>
      <c r="E275" t="inlineStr">
        <is>
          <t>TÖREBODA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8965-2025</t>
        </is>
      </c>
      <c r="B276" s="1" t="n">
        <v>45713.49025462963</v>
      </c>
      <c r="C276" s="1" t="n">
        <v>46170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7860-2026</t>
        </is>
      </c>
      <c r="B277" s="1" t="n">
        <v>46062.68663194445</v>
      </c>
      <c r="C277" s="1" t="n">
        <v>46170</v>
      </c>
      <c r="D277" t="inlineStr">
        <is>
          <t>VÄSTRA GÖTALANDS LÄN</t>
        </is>
      </c>
      <c r="E277" t="inlineStr">
        <is>
          <t>TÖREBODA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20361-2025</t>
        </is>
      </c>
      <c r="B278" s="1" t="n">
        <v>45775.39840277778</v>
      </c>
      <c r="C278" s="1" t="n">
        <v>46170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20362-2025</t>
        </is>
      </c>
      <c r="B279" s="1" t="n">
        <v>45775.40157407407</v>
      </c>
      <c r="C279" s="1" t="n">
        <v>46170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5819-2025</t>
        </is>
      </c>
      <c r="B280" s="1" t="n">
        <v>45694.76770833333</v>
      </c>
      <c r="C280" s="1" t="n">
        <v>46170</v>
      </c>
      <c r="D280" t="inlineStr">
        <is>
          <t>VÄSTRA GÖTALANDS LÄN</t>
        </is>
      </c>
      <c r="E280" t="inlineStr">
        <is>
          <t>TÖREBODA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33754-2023</t>
        </is>
      </c>
      <c r="B281" s="1" t="n">
        <v>45133.41232638889</v>
      </c>
      <c r="C281" s="1" t="n">
        <v>46170</v>
      </c>
      <c r="D281" t="inlineStr">
        <is>
          <t>VÄSTRA GÖTALANDS LÄN</t>
        </is>
      </c>
      <c r="E281" t="inlineStr">
        <is>
          <t>TÖREBODA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39656-2024</t>
        </is>
      </c>
      <c r="B282" s="1" t="n">
        <v>45552.49091435185</v>
      </c>
      <c r="C282" s="1" t="n">
        <v>46170</v>
      </c>
      <c r="D282" t="inlineStr">
        <is>
          <t>VÄSTRA GÖTALANDS LÄN</t>
        </is>
      </c>
      <c r="E282" t="inlineStr">
        <is>
          <t>TÖREBODA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20391-2023</t>
        </is>
      </c>
      <c r="B283" s="1" t="n">
        <v>45056.59340277778</v>
      </c>
      <c r="C283" s="1" t="n">
        <v>46170</v>
      </c>
      <c r="D283" t="inlineStr">
        <is>
          <t>VÄSTRA GÖTALANDS LÄN</t>
        </is>
      </c>
      <c r="E283" t="inlineStr">
        <is>
          <t>TÖREBODA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35360-2022</t>
        </is>
      </c>
      <c r="B284" s="1" t="n">
        <v>44798</v>
      </c>
      <c r="C284" s="1" t="n">
        <v>46170</v>
      </c>
      <c r="D284" t="inlineStr">
        <is>
          <t>VÄSTRA GÖTALANDS LÄN</t>
        </is>
      </c>
      <c r="E284" t="inlineStr">
        <is>
          <t>TÖREBODA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11159-2023</t>
        </is>
      </c>
      <c r="B285" s="1" t="n">
        <v>44987</v>
      </c>
      <c r="C285" s="1" t="n">
        <v>46170</v>
      </c>
      <c r="D285" t="inlineStr">
        <is>
          <t>VÄSTRA GÖTALANDS LÄN</t>
        </is>
      </c>
      <c r="E285" t="inlineStr">
        <is>
          <t>TÖREBODA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10185-2023</t>
        </is>
      </c>
      <c r="B286" s="1" t="n">
        <v>44986</v>
      </c>
      <c r="C286" s="1" t="n">
        <v>46170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6442-2025</t>
        </is>
      </c>
      <c r="B287" s="1" t="n">
        <v>45699</v>
      </c>
      <c r="C287" s="1" t="n">
        <v>46170</v>
      </c>
      <c r="D287" t="inlineStr">
        <is>
          <t>VÄSTRA GÖTALANDS LÄN</t>
        </is>
      </c>
      <c r="E287" t="inlineStr">
        <is>
          <t>TÖREBODA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13056-2023</t>
        </is>
      </c>
      <c r="B288" s="1" t="n">
        <v>45002.37699074074</v>
      </c>
      <c r="C288" s="1" t="n">
        <v>46170</v>
      </c>
      <c r="D288" t="inlineStr">
        <is>
          <t>VÄSTRA GÖTALANDS LÄN</t>
        </is>
      </c>
      <c r="E288" t="inlineStr">
        <is>
          <t>TÖREBODA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10818-2026</t>
        </is>
      </c>
      <c r="B289" s="1" t="n">
        <v>46078.61452546297</v>
      </c>
      <c r="C289" s="1" t="n">
        <v>46170</v>
      </c>
      <c r="D289" t="inlineStr">
        <is>
          <t>VÄSTRA GÖTALANDS LÄN</t>
        </is>
      </c>
      <c r="E289" t="inlineStr">
        <is>
          <t>TÖREBODA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4941-2023</t>
        </is>
      </c>
      <c r="B290" s="1" t="n">
        <v>44958.433125</v>
      </c>
      <c r="C290" s="1" t="n">
        <v>46170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62359-2022</t>
        </is>
      </c>
      <c r="B291" s="1" t="n">
        <v>44923</v>
      </c>
      <c r="C291" s="1" t="n">
        <v>46170</v>
      </c>
      <c r="D291" t="inlineStr">
        <is>
          <t>VÄSTRA GÖTALANDS LÄN</t>
        </is>
      </c>
      <c r="E291" t="inlineStr">
        <is>
          <t>TÖREBODA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62360-2022</t>
        </is>
      </c>
      <c r="B292" s="1" t="n">
        <v>44923.64385416666</v>
      </c>
      <c r="C292" s="1" t="n">
        <v>46170</v>
      </c>
      <c r="D292" t="inlineStr">
        <is>
          <t>VÄSTRA GÖTALANDS LÄN</t>
        </is>
      </c>
      <c r="E292" t="inlineStr">
        <is>
          <t>TÖREBODA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62363-2022</t>
        </is>
      </c>
      <c r="B293" s="1" t="n">
        <v>44923.64582175926</v>
      </c>
      <c r="C293" s="1" t="n">
        <v>46170</v>
      </c>
      <c r="D293" t="inlineStr">
        <is>
          <t>VÄSTRA GÖTALANDS LÄN</t>
        </is>
      </c>
      <c r="E293" t="inlineStr">
        <is>
          <t>TÖREBODA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40598-2024</t>
        </is>
      </c>
      <c r="B294" s="1" t="n">
        <v>45556.34140046296</v>
      </c>
      <c r="C294" s="1" t="n">
        <v>46170</v>
      </c>
      <c r="D294" t="inlineStr">
        <is>
          <t>VÄSTRA GÖTALANDS LÄN</t>
        </is>
      </c>
      <c r="E294" t="inlineStr">
        <is>
          <t>TÖREBODA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28183-2022</t>
        </is>
      </c>
      <c r="B295" s="1" t="n">
        <v>44746</v>
      </c>
      <c r="C295" s="1" t="n">
        <v>46170</v>
      </c>
      <c r="D295" t="inlineStr">
        <is>
          <t>VÄSTRA GÖTALANDS LÄN</t>
        </is>
      </c>
      <c r="E295" t="inlineStr">
        <is>
          <t>TÖREBODA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17360-2024</t>
        </is>
      </c>
      <c r="B296" s="1" t="n">
        <v>45414.60575231481</v>
      </c>
      <c r="C296" s="1" t="n">
        <v>46170</v>
      </c>
      <c r="D296" t="inlineStr">
        <is>
          <t>VÄSTRA GÖTALANDS LÄN</t>
        </is>
      </c>
      <c r="E296" t="inlineStr">
        <is>
          <t>TÖREBODA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59440-2022</t>
        </is>
      </c>
      <c r="B297" s="1" t="n">
        <v>44907.39542824074</v>
      </c>
      <c r="C297" s="1" t="n">
        <v>46170</v>
      </c>
      <c r="D297" t="inlineStr">
        <is>
          <t>VÄSTRA GÖTALANDS LÄN</t>
        </is>
      </c>
      <c r="E297" t="inlineStr">
        <is>
          <t>TÖREBODA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12207-2025</t>
        </is>
      </c>
      <c r="B298" s="1" t="n">
        <v>45729</v>
      </c>
      <c r="C298" s="1" t="n">
        <v>46170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Övriga statliga verk och myndigheter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11587-2026</t>
        </is>
      </c>
      <c r="B299" s="1" t="n">
        <v>46084.41233796296</v>
      </c>
      <c r="C299" s="1" t="n">
        <v>46170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Kyrkan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42109-2024</t>
        </is>
      </c>
      <c r="B300" s="1" t="n">
        <v>45562.3779050926</v>
      </c>
      <c r="C300" s="1" t="n">
        <v>46170</v>
      </c>
      <c r="D300" t="inlineStr">
        <is>
          <t>VÄSTRA GÖTALANDS LÄN</t>
        </is>
      </c>
      <c r="E300" t="inlineStr">
        <is>
          <t>TÖREBODA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6811-2025</t>
        </is>
      </c>
      <c r="B301" s="1" t="n">
        <v>45700.69462962963</v>
      </c>
      <c r="C301" s="1" t="n">
        <v>46170</v>
      </c>
      <c r="D301" t="inlineStr">
        <is>
          <t>VÄSTRA GÖTALANDS LÄN</t>
        </is>
      </c>
      <c r="E301" t="inlineStr">
        <is>
          <t>TÖREBODA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11863-2026</t>
        </is>
      </c>
      <c r="B302" s="1" t="n">
        <v>46085.47489583334</v>
      </c>
      <c r="C302" s="1" t="n">
        <v>46170</v>
      </c>
      <c r="D302" t="inlineStr">
        <is>
          <t>VÄSTRA GÖTALANDS LÄN</t>
        </is>
      </c>
      <c r="E302" t="inlineStr">
        <is>
          <t>TÖREBODA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16266-2025</t>
        </is>
      </c>
      <c r="B303" s="1" t="n">
        <v>45750</v>
      </c>
      <c r="C303" s="1" t="n">
        <v>46170</v>
      </c>
      <c r="D303" t="inlineStr">
        <is>
          <t>VÄSTRA GÖTALANDS LÄN</t>
        </is>
      </c>
      <c r="E303" t="inlineStr">
        <is>
          <t>TÖREBODA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33276-2023</t>
        </is>
      </c>
      <c r="B304" s="1" t="n">
        <v>45127.60350694445</v>
      </c>
      <c r="C304" s="1" t="n">
        <v>46170</v>
      </c>
      <c r="D304" t="inlineStr">
        <is>
          <t>VÄSTRA GÖTALANDS LÄN</t>
        </is>
      </c>
      <c r="E304" t="inlineStr">
        <is>
          <t>TÖREBODA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18687-2025</t>
        </is>
      </c>
      <c r="B305" s="1" t="n">
        <v>45763.6129050926</v>
      </c>
      <c r="C305" s="1" t="n">
        <v>46170</v>
      </c>
      <c r="D305" t="inlineStr">
        <is>
          <t>VÄSTRA GÖTALANDS LÄN</t>
        </is>
      </c>
      <c r="E305" t="inlineStr">
        <is>
          <t>TÖREBODA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1554-2023</t>
        </is>
      </c>
      <c r="B306" s="1" t="n">
        <v>44937</v>
      </c>
      <c r="C306" s="1" t="n">
        <v>46170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statliga verk och myndigheter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19706-2026</t>
        </is>
      </c>
      <c r="B307" s="1" t="n">
        <v>46134.77883101852</v>
      </c>
      <c r="C307" s="1" t="n">
        <v>46170</v>
      </c>
      <c r="D307" t="inlineStr">
        <is>
          <t>VÄSTRA GÖTALANDS LÄN</t>
        </is>
      </c>
      <c r="E307" t="inlineStr">
        <is>
          <t>TÖREBODA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19685-2026</t>
        </is>
      </c>
      <c r="B308" s="1" t="n">
        <v>46134.66387731482</v>
      </c>
      <c r="C308" s="1" t="n">
        <v>46170</v>
      </c>
      <c r="D308" t="inlineStr">
        <is>
          <t>VÄSTRA GÖTALANDS LÄN</t>
        </is>
      </c>
      <c r="E308" t="inlineStr">
        <is>
          <t>TÖREBODA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20471-2026</t>
        </is>
      </c>
      <c r="B309" s="1" t="n">
        <v>46140.4641087963</v>
      </c>
      <c r="C309" s="1" t="n">
        <v>46170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39791-2024</t>
        </is>
      </c>
      <c r="B310" s="1" t="n">
        <v>45553.33474537037</v>
      </c>
      <c r="C310" s="1" t="n">
        <v>46170</v>
      </c>
      <c r="D310" t="inlineStr">
        <is>
          <t>VÄSTRA GÖTALANDS LÄN</t>
        </is>
      </c>
      <c r="E310" t="inlineStr">
        <is>
          <t>TÖREBODA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58013-2022</t>
        </is>
      </c>
      <c r="B311" s="1" t="n">
        <v>44900</v>
      </c>
      <c r="C311" s="1" t="n">
        <v>46170</v>
      </c>
      <c r="D311" t="inlineStr">
        <is>
          <t>VÄSTRA GÖTALANDS LÄN</t>
        </is>
      </c>
      <c r="E311" t="inlineStr">
        <is>
          <t>TÖREBODA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58019-2022</t>
        </is>
      </c>
      <c r="B312" s="1" t="n">
        <v>44900</v>
      </c>
      <c r="C312" s="1" t="n">
        <v>46170</v>
      </c>
      <c r="D312" t="inlineStr">
        <is>
          <t>VÄSTRA GÖTALANDS LÄN</t>
        </is>
      </c>
      <c r="E312" t="inlineStr">
        <is>
          <t>TÖREBODA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53791-2023</t>
        </is>
      </c>
      <c r="B313" s="1" t="n">
        <v>45231</v>
      </c>
      <c r="C313" s="1" t="n">
        <v>46170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14557-2026</t>
        </is>
      </c>
      <c r="B314" s="1" t="n">
        <v>46100</v>
      </c>
      <c r="C314" s="1" t="n">
        <v>46170</v>
      </c>
      <c r="D314" t="inlineStr">
        <is>
          <t>VÄSTRA GÖTALANDS LÄN</t>
        </is>
      </c>
      <c r="E314" t="inlineStr">
        <is>
          <t>TÖREBODA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21187-2026</t>
        </is>
      </c>
      <c r="B315" s="1" t="n">
        <v>46146.64412037037</v>
      </c>
      <c r="C315" s="1" t="n">
        <v>46170</v>
      </c>
      <c r="D315" t="inlineStr">
        <is>
          <t>VÄSTRA GÖTALANDS LÄN</t>
        </is>
      </c>
      <c r="E315" t="inlineStr">
        <is>
          <t>TÖREBODA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4591-2025</t>
        </is>
      </c>
      <c r="B316" s="1" t="n">
        <v>45687.54039351852</v>
      </c>
      <c r="C316" s="1" t="n">
        <v>46170</v>
      </c>
      <c r="D316" t="inlineStr">
        <is>
          <t>VÄSTRA GÖTALANDS LÄN</t>
        </is>
      </c>
      <c r="E316" t="inlineStr">
        <is>
          <t>TÖREBODA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39660-2024</t>
        </is>
      </c>
      <c r="B317" s="1" t="n">
        <v>45552</v>
      </c>
      <c r="C317" s="1" t="n">
        <v>46170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18449-2024</t>
        </is>
      </c>
      <c r="B318" s="1" t="n">
        <v>45425.46256944445</v>
      </c>
      <c r="C318" s="1" t="n">
        <v>46170</v>
      </c>
      <c r="D318" t="inlineStr">
        <is>
          <t>VÄSTRA GÖTALANDS LÄN</t>
        </is>
      </c>
      <c r="E318" t="inlineStr">
        <is>
          <t>TÖREBODA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23662-2023</t>
        </is>
      </c>
      <c r="B319" s="1" t="n">
        <v>45077</v>
      </c>
      <c r="C319" s="1" t="n">
        <v>46170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15567-2026</t>
        </is>
      </c>
      <c r="B320" s="1" t="n">
        <v>46106</v>
      </c>
      <c r="C320" s="1" t="n">
        <v>46170</v>
      </c>
      <c r="D320" t="inlineStr">
        <is>
          <t>VÄSTRA GÖTALANDS LÄN</t>
        </is>
      </c>
      <c r="E320" t="inlineStr">
        <is>
          <t>TÖREBODA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26208-2021</t>
        </is>
      </c>
      <c r="B321" s="1" t="n">
        <v>44347</v>
      </c>
      <c r="C321" s="1" t="n">
        <v>46170</v>
      </c>
      <c r="D321" t="inlineStr">
        <is>
          <t>VÄSTRA GÖTALANDS LÄN</t>
        </is>
      </c>
      <c r="E321" t="inlineStr">
        <is>
          <t>TÖREBODA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58755-2022</t>
        </is>
      </c>
      <c r="B322" s="1" t="n">
        <v>44903</v>
      </c>
      <c r="C322" s="1" t="n">
        <v>46170</v>
      </c>
      <c r="D322" t="inlineStr">
        <is>
          <t>VÄSTRA GÖTALANDS LÄN</t>
        </is>
      </c>
      <c r="E322" t="inlineStr">
        <is>
          <t>TÖREBODA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7120-2024</t>
        </is>
      </c>
      <c r="B323" s="1" t="n">
        <v>45344</v>
      </c>
      <c r="C323" s="1" t="n">
        <v>46170</v>
      </c>
      <c r="D323" t="inlineStr">
        <is>
          <t>VÄSTRA GÖTALANDS LÄN</t>
        </is>
      </c>
      <c r="E323" t="inlineStr">
        <is>
          <t>TÖREBODA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16200-2026</t>
        </is>
      </c>
      <c r="B324" s="1" t="n">
        <v>46111.39626157407</v>
      </c>
      <c r="C324" s="1" t="n">
        <v>46170</v>
      </c>
      <c r="D324" t="inlineStr">
        <is>
          <t>VÄSTRA GÖTALANDS LÄN</t>
        </is>
      </c>
      <c r="E324" t="inlineStr">
        <is>
          <t>TÖREBODA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21964-2026</t>
        </is>
      </c>
      <c r="B325" s="1" t="n">
        <v>46152.62579861111</v>
      </c>
      <c r="C325" s="1" t="n">
        <v>46170</v>
      </c>
      <c r="D325" t="inlineStr">
        <is>
          <t>VÄSTRA GÖTALANDS LÄN</t>
        </is>
      </c>
      <c r="E325" t="inlineStr">
        <is>
          <t>TÖREBODA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719-2024</t>
        </is>
      </c>
      <c r="B326" s="1" t="n">
        <v>45300.4333449074</v>
      </c>
      <c r="C326" s="1" t="n">
        <v>46170</v>
      </c>
      <c r="D326" t="inlineStr">
        <is>
          <t>VÄSTRA GÖTALANDS LÄN</t>
        </is>
      </c>
      <c r="E326" t="inlineStr">
        <is>
          <t>TÖREBODA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21963-2026</t>
        </is>
      </c>
      <c r="B327" s="1" t="n">
        <v>46152.62318287037</v>
      </c>
      <c r="C327" s="1" t="n">
        <v>46170</v>
      </c>
      <c r="D327" t="inlineStr">
        <is>
          <t>VÄSTRA GÖTALANDS LÄN</t>
        </is>
      </c>
      <c r="E327" t="inlineStr">
        <is>
          <t>TÖREBODA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22861-2024</t>
        </is>
      </c>
      <c r="B328" s="1" t="n">
        <v>45448.62668981482</v>
      </c>
      <c r="C328" s="1" t="n">
        <v>46170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21966-2026</t>
        </is>
      </c>
      <c r="B329" s="1" t="n">
        <v>46152.63203703704</v>
      </c>
      <c r="C329" s="1" t="n">
        <v>46170</v>
      </c>
      <c r="D329" t="inlineStr">
        <is>
          <t>VÄSTRA GÖTALANDS LÄN</t>
        </is>
      </c>
      <c r="E329" t="inlineStr">
        <is>
          <t>TÖREBODA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32463-2022</t>
        </is>
      </c>
      <c r="B330" s="1" t="n">
        <v>44782.57694444444</v>
      </c>
      <c r="C330" s="1" t="n">
        <v>46170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21961-2026</t>
        </is>
      </c>
      <c r="B331" s="1" t="n">
        <v>46152.61965277778</v>
      </c>
      <c r="C331" s="1" t="n">
        <v>46170</v>
      </c>
      <c r="D331" t="inlineStr">
        <is>
          <t>VÄSTRA GÖTALANDS LÄN</t>
        </is>
      </c>
      <c r="E331" t="inlineStr">
        <is>
          <t>TÖREBODA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21962-2026</t>
        </is>
      </c>
      <c r="B332" s="1" t="n">
        <v>46152.62168981481</v>
      </c>
      <c r="C332" s="1" t="n">
        <v>46170</v>
      </c>
      <c r="D332" t="inlineStr">
        <is>
          <t>VÄSTRA GÖTALANDS LÄN</t>
        </is>
      </c>
      <c r="E332" t="inlineStr">
        <is>
          <t>TÖREBODA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21965-2026</t>
        </is>
      </c>
      <c r="B333" s="1" t="n">
        <v>46152.62809027778</v>
      </c>
      <c r="C333" s="1" t="n">
        <v>46170</v>
      </c>
      <c r="D333" t="inlineStr">
        <is>
          <t>VÄSTRA GÖTALANDS LÄN</t>
        </is>
      </c>
      <c r="E333" t="inlineStr">
        <is>
          <t>TÖREBODA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21967-2026</t>
        </is>
      </c>
      <c r="B334" s="1" t="n">
        <v>46152.63453703704</v>
      </c>
      <c r="C334" s="1" t="n">
        <v>46170</v>
      </c>
      <c r="D334" t="inlineStr">
        <is>
          <t>VÄSTRA GÖTALANDS LÄN</t>
        </is>
      </c>
      <c r="E334" t="inlineStr">
        <is>
          <t>TÖREBODA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21968-2026</t>
        </is>
      </c>
      <c r="B335" s="1" t="n">
        <v>46152.63719907407</v>
      </c>
      <c r="C335" s="1" t="n">
        <v>46170</v>
      </c>
      <c r="D335" t="inlineStr">
        <is>
          <t>VÄSTRA GÖTALANDS LÄN</t>
        </is>
      </c>
      <c r="E335" t="inlineStr">
        <is>
          <t>TÖREBODA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16682-2025</t>
        </is>
      </c>
      <c r="B336" s="1" t="n">
        <v>45754.44958333333</v>
      </c>
      <c r="C336" s="1" t="n">
        <v>46170</v>
      </c>
      <c r="D336" t="inlineStr">
        <is>
          <t>VÄSTRA GÖTALANDS LÄN</t>
        </is>
      </c>
      <c r="E336" t="inlineStr">
        <is>
          <t>TÖREBODA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56561-2024</t>
        </is>
      </c>
      <c r="B337" s="1" t="n">
        <v>45625</v>
      </c>
      <c r="C337" s="1" t="n">
        <v>46170</v>
      </c>
      <c r="D337" t="inlineStr">
        <is>
          <t>VÄSTRA GÖTALANDS LÄN</t>
        </is>
      </c>
      <c r="E337" t="inlineStr">
        <is>
          <t>TÖREBODA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57670-2023</t>
        </is>
      </c>
      <c r="B338" s="1" t="n">
        <v>45246</v>
      </c>
      <c r="C338" s="1" t="n">
        <v>46170</v>
      </c>
      <c r="D338" t="inlineStr">
        <is>
          <t>VÄSTRA GÖTALANDS LÄN</t>
        </is>
      </c>
      <c r="E338" t="inlineStr">
        <is>
          <t>TÖREBODA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14555-2026</t>
        </is>
      </c>
      <c r="B339" s="1" t="n">
        <v>46100</v>
      </c>
      <c r="C339" s="1" t="n">
        <v>46170</v>
      </c>
      <c r="D339" t="inlineStr">
        <is>
          <t>VÄSTRA GÖTALANDS LÄN</t>
        </is>
      </c>
      <c r="E339" t="inlineStr">
        <is>
          <t>TÖREBODA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51626-2023</t>
        </is>
      </c>
      <c r="B340" s="1" t="n">
        <v>45215</v>
      </c>
      <c r="C340" s="1" t="n">
        <v>46170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4194-2024</t>
        </is>
      </c>
      <c r="B341" s="1" t="n">
        <v>45324</v>
      </c>
      <c r="C341" s="1" t="n">
        <v>46170</v>
      </c>
      <c r="D341" t="inlineStr">
        <is>
          <t>VÄSTRA GÖTALANDS LÄN</t>
        </is>
      </c>
      <c r="E341" t="inlineStr">
        <is>
          <t>TÖREBODA</t>
        </is>
      </c>
      <c r="G341" t="n">
        <v>28.9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12448-2024</t>
        </is>
      </c>
      <c r="B342" s="1" t="n">
        <v>45378</v>
      </c>
      <c r="C342" s="1" t="n">
        <v>46170</v>
      </c>
      <c r="D342" t="inlineStr">
        <is>
          <t>VÄSTRA GÖTALANDS LÄN</t>
        </is>
      </c>
      <c r="E342" t="inlineStr">
        <is>
          <t>TÖREBODA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57225-2021</t>
        </is>
      </c>
      <c r="B343" s="1" t="n">
        <v>44483.29784722222</v>
      </c>
      <c r="C343" s="1" t="n">
        <v>46170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17895-2026</t>
        </is>
      </c>
      <c r="B344" s="1" t="n">
        <v>46122.57444444444</v>
      </c>
      <c r="C344" s="1" t="n">
        <v>46170</v>
      </c>
      <c r="D344" t="inlineStr">
        <is>
          <t>VÄSTRA GÖTALANDS LÄN</t>
        </is>
      </c>
      <c r="E344" t="inlineStr">
        <is>
          <t>TÖREBODA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24160-2026</t>
        </is>
      </c>
      <c r="B345" s="1" t="n">
        <v>46168.53561342593</v>
      </c>
      <c r="C345" s="1" t="n">
        <v>46170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24161-2026</t>
        </is>
      </c>
      <c r="B346" s="1" t="n">
        <v>46168.53690972222</v>
      </c>
      <c r="C346" s="1" t="n">
        <v>46170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35448-2024</t>
        </is>
      </c>
      <c r="B347" s="1" t="n">
        <v>45531</v>
      </c>
      <c r="C347" s="1" t="n">
        <v>46170</v>
      </c>
      <c r="D347" t="inlineStr">
        <is>
          <t>VÄSTRA GÖTALANDS LÄN</t>
        </is>
      </c>
      <c r="E347" t="inlineStr">
        <is>
          <t>TÖREBODA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35489-2024</t>
        </is>
      </c>
      <c r="B348" s="1" t="n">
        <v>45531</v>
      </c>
      <c r="C348" s="1" t="n">
        <v>46170</v>
      </c>
      <c r="D348" t="inlineStr">
        <is>
          <t>VÄSTRA GÖTALANDS LÄN</t>
        </is>
      </c>
      <c r="E348" t="inlineStr">
        <is>
          <t>TÖREBODA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41627-2022</t>
        </is>
      </c>
      <c r="B349" s="1" t="n">
        <v>44827</v>
      </c>
      <c r="C349" s="1" t="n">
        <v>46170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41632-2022</t>
        </is>
      </c>
      <c r="B350" s="1" t="n">
        <v>44827</v>
      </c>
      <c r="C350" s="1" t="n">
        <v>46170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48973-2023</t>
        </is>
      </c>
      <c r="B351" s="1" t="n">
        <v>45209</v>
      </c>
      <c r="C351" s="1" t="n">
        <v>46170</v>
      </c>
      <c r="D351" t="inlineStr">
        <is>
          <t>VÄSTRA GÖTALANDS LÄN</t>
        </is>
      </c>
      <c r="E351" t="inlineStr">
        <is>
          <t>TÖREBODA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25733-2021</t>
        </is>
      </c>
      <c r="B352" s="1" t="n">
        <v>44343</v>
      </c>
      <c r="C352" s="1" t="n">
        <v>46170</v>
      </c>
      <c r="D352" t="inlineStr">
        <is>
          <t>VÄSTRA GÖTALANDS LÄN</t>
        </is>
      </c>
      <c r="E352" t="inlineStr">
        <is>
          <t>TÖREBODA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62781-2023</t>
        </is>
      </c>
      <c r="B353" s="1" t="n">
        <v>45268</v>
      </c>
      <c r="C353" s="1" t="n">
        <v>46170</v>
      </c>
      <c r="D353" t="inlineStr">
        <is>
          <t>VÄSTRA GÖTALANDS LÄN</t>
        </is>
      </c>
      <c r="E353" t="inlineStr">
        <is>
          <t>TÖREBODA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4666-2024</t>
        </is>
      </c>
      <c r="B354" s="1" t="n">
        <v>45328</v>
      </c>
      <c r="C354" s="1" t="n">
        <v>46170</v>
      </c>
      <c r="D354" t="inlineStr">
        <is>
          <t>VÄSTRA GÖTALANDS LÄN</t>
        </is>
      </c>
      <c r="E354" t="inlineStr">
        <is>
          <t>TÖREBODA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59438-2022</t>
        </is>
      </c>
      <c r="B355" s="1" t="n">
        <v>44907.39209490741</v>
      </c>
      <c r="C355" s="1" t="n">
        <v>46170</v>
      </c>
      <c r="D355" t="inlineStr">
        <is>
          <t>VÄSTRA GÖTALANDS LÄN</t>
        </is>
      </c>
      <c r="E355" t="inlineStr">
        <is>
          <t>TÖREBODA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51386-2024</t>
        </is>
      </c>
      <c r="B356" s="1" t="n">
        <v>45604.39815972222</v>
      </c>
      <c r="C356" s="1" t="n">
        <v>46170</v>
      </c>
      <c r="D356" t="inlineStr">
        <is>
          <t>VÄSTRA GÖTALANDS LÄN</t>
        </is>
      </c>
      <c r="E356" t="inlineStr">
        <is>
          <t>TÖREBODA</t>
        </is>
      </c>
      <c r="F356" t="inlineStr">
        <is>
          <t>Sveaskog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57974-2022</t>
        </is>
      </c>
      <c r="B357" s="1" t="n">
        <v>44900.45856481481</v>
      </c>
      <c r="C357" s="1" t="n">
        <v>46170</v>
      </c>
      <c r="D357" t="inlineStr">
        <is>
          <t>VÄSTRA GÖTALANDS LÄN</t>
        </is>
      </c>
      <c r="E357" t="inlineStr">
        <is>
          <t>TÖREBODA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4218-2023</t>
        </is>
      </c>
      <c r="B358" s="1" t="n">
        <v>44951</v>
      </c>
      <c r="C358" s="1" t="n">
        <v>46170</v>
      </c>
      <c r="D358" t="inlineStr">
        <is>
          <t>VÄSTRA GÖTALANDS LÄN</t>
        </is>
      </c>
      <c r="E358" t="inlineStr">
        <is>
          <t>TÖREBODA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20363-2025</t>
        </is>
      </c>
      <c r="B359" s="1" t="n">
        <v>45775.40270833333</v>
      </c>
      <c r="C359" s="1" t="n">
        <v>46170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17497-2025</t>
        </is>
      </c>
      <c r="B360" s="1" t="n">
        <v>45757.54159722223</v>
      </c>
      <c r="C360" s="1" t="n">
        <v>46170</v>
      </c>
      <c r="D360" t="inlineStr">
        <is>
          <t>VÄSTRA GÖTALANDS LÄN</t>
        </is>
      </c>
      <c r="E360" t="inlineStr">
        <is>
          <t>TÖREBODA</t>
        </is>
      </c>
      <c r="G360" t="n">
        <v>49.4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51889-2024</t>
        </is>
      </c>
      <c r="B361" s="1" t="n">
        <v>45607.57304398148</v>
      </c>
      <c r="C361" s="1" t="n">
        <v>46170</v>
      </c>
      <c r="D361" t="inlineStr">
        <is>
          <t>VÄSTRA GÖTALANDS LÄN</t>
        </is>
      </c>
      <c r="E361" t="inlineStr">
        <is>
          <t>TÖREBODA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34862-2023</t>
        </is>
      </c>
      <c r="B362" s="1" t="n">
        <v>45142.31351851852</v>
      </c>
      <c r="C362" s="1" t="n">
        <v>46170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1550-2023</t>
        </is>
      </c>
      <c r="B363" s="1" t="n">
        <v>44937.58658564815</v>
      </c>
      <c r="C363" s="1" t="n">
        <v>46170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Övriga statliga verk och myndigheter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20447-2025</t>
        </is>
      </c>
      <c r="B364" s="1" t="n">
        <v>45775.49373842592</v>
      </c>
      <c r="C364" s="1" t="n">
        <v>46170</v>
      </c>
      <c r="D364" t="inlineStr">
        <is>
          <t>VÄSTRA GÖTALANDS LÄN</t>
        </is>
      </c>
      <c r="E364" t="inlineStr">
        <is>
          <t>TÖREBODA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19874-2022</t>
        </is>
      </c>
      <c r="B365" s="1" t="n">
        <v>44697</v>
      </c>
      <c r="C365" s="1" t="n">
        <v>46170</v>
      </c>
      <c r="D365" t="inlineStr">
        <is>
          <t>VÄSTRA GÖTALANDS LÄN</t>
        </is>
      </c>
      <c r="E365" t="inlineStr">
        <is>
          <t>TÖREBODA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28196-2022</t>
        </is>
      </c>
      <c r="B366" s="1" t="n">
        <v>44746</v>
      </c>
      <c r="C366" s="1" t="n">
        <v>46170</v>
      </c>
      <c r="D366" t="inlineStr">
        <is>
          <t>VÄSTRA GÖTALANDS LÄN</t>
        </is>
      </c>
      <c r="E366" t="inlineStr">
        <is>
          <t>TÖREBODA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20976-2025</t>
        </is>
      </c>
      <c r="B367" s="1" t="n">
        <v>45777.45978009259</v>
      </c>
      <c r="C367" s="1" t="n">
        <v>46170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46088-2024</t>
        </is>
      </c>
      <c r="B368" s="1" t="n">
        <v>45581.34831018518</v>
      </c>
      <c r="C368" s="1" t="n">
        <v>46170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2026-05-28T10:53:43Z</dcterms:created>
  <dcterms:modified xmlns:dcterms="http://purl.org/dc/terms/" xmlns:xsi="http://www.w3.org/2001/XMLSchema-instance" xsi:type="dcterms:W3CDTF">2026-05-28T10:53:43Z</dcterms:modified>
</cp:coreProperties>
</file>