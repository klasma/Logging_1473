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46261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46261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46261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46261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46261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46261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46261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46261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46261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46261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46261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46261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46261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12168-2025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46261</v>
      </c>
      <c r="F19" t="inlineStr">
        <is>
          <t>VÄSTRA GÖTALANDS LÄN</t>
        </is>
      </c>
      <c r="G19" t="inlineStr">
        <is>
          <t>TÖREBODA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HYPERLINK("https://klasma.github.io/Logging_1473/artfynd/A 12168-2025 artfynd.xlsx", "A 12168-2025")</f>
        <v/>
      </c>
      <c r="X19">
        <f>HYPERLINK("https://klasma.github.io/Logging_1473/kartor/A 12168-2025 karta.png", "A 12168-2025")</f>
        <v/>
      </c>
      <c r="Y19">
        <f>HYPERLINK("https://klasma.github.io/Logging_1473/kartor_geotiff/A 12168-2025 georefererad karta.tif", "A 12168-2025")</f>
        <v/>
      </c>
      <c r="AA19">
        <f>HYPERLINK("https://klasma.github.io/Logging_1473/klagomål/A 12168-2025 FSC-klagomål.docx", "A 12168-2025")</f>
        <v/>
      </c>
      <c r="AB19">
        <f>HYPERLINK("https://klasma.github.io/Logging_1473/klagomålsmail/A 12168-2025 FSC-klagomål mail.docx", "A 12168-2025")</f>
        <v/>
      </c>
      <c r="AC19">
        <f>HYPERLINK("https://klasma.github.io/Logging_1473/tillsyn/A 12168-2025 tillsynsbegäran.docx", "A 12168-2025")</f>
        <v/>
      </c>
      <c r="AD19">
        <f>HYPERLINK("https://klasma.github.io/Logging_1473/tillsynsmail/A 12168-2025 tillsynsbegäran mail.docx", "A 12168-2025")</f>
        <v/>
      </c>
      <c r="AE19">
        <f>HYPERLINK("https://klasma.github.io/Logging_1473/fåglar/A 12168-2025 prioriterade fågelarter.docx", "A 12168-2025")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46261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46261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46261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6160-2023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46261</v>
      </c>
      <c r="F23" t="inlineStr">
        <is>
          <t>VÄSTRA GÖTALANDS LÄN</t>
        </is>
      </c>
      <c r="G23" t="inlineStr">
        <is>
          <t>TÖREBODA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Havsörn</t>
        </is>
      </c>
      <c r="W23">
        <f>HYPERLINK("https://klasma.github.io/Logging_1473/artfynd/A 6160-2023 artfynd.xlsx", "A 6160-2023")</f>
        <v/>
      </c>
      <c r="X23">
        <f>HYPERLINK("https://klasma.github.io/Logging_1473/kartor/A 6160-2023 karta.png", "A 6160-2023")</f>
        <v/>
      </c>
      <c r="Y23">
        <f>HYPERLINK("https://klasma.github.io/Logging_1473/kartor_geotiff/A 6160-2023 georefererad karta.tif", "A 6160-2023")</f>
        <v/>
      </c>
      <c r="AA23">
        <f>HYPERLINK("https://klasma.github.io/Logging_1473/klagomål/A 6160-2023 FSC-klagomål.docx", "A 6160-2023")</f>
        <v/>
      </c>
      <c r="AB23">
        <f>HYPERLINK("https://klasma.github.io/Logging_1473/klagomålsmail/A 6160-2023 FSC-klagomål mail.docx", "A 6160-2023")</f>
        <v/>
      </c>
      <c r="AC23">
        <f>HYPERLINK("https://klasma.github.io/Logging_1473/tillsyn/A 6160-2023 tillsynsbegäran.docx", "A 6160-2023")</f>
        <v/>
      </c>
      <c r="AD23">
        <f>HYPERLINK("https://klasma.github.io/Logging_1473/tillsynsmail/A 6160-2023 tillsynsbegäran mail.docx", "A 6160-2023")</f>
        <v/>
      </c>
      <c r="AE23">
        <f>HYPERLINK("https://klasma.github.io/Logging_1473/fåglar/A 6160-2023 prioriterade fågelarter.docx", "A 6160-2023")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46261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8266-2022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46261</v>
      </c>
      <c r="F25" t="inlineStr">
        <is>
          <t>VÄSTRA GÖTALANDS LÄN</t>
        </is>
      </c>
      <c r="G25" t="inlineStr">
        <is>
          <t>TÖREBODA</t>
        </is>
      </c>
      <c r="H25" t="inlineStr">
        <is>
          <t>Sveaskog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Dofttaggsvamp</t>
        </is>
      </c>
      <c r="W25">
        <f>HYPERLINK("https://klasma.github.io/Logging_1473/artfynd/A 8266-2022 artfynd.xlsx", "A 8266-2022")</f>
        <v/>
      </c>
      <c r="X25">
        <f>HYPERLINK("https://klasma.github.io/Logging_1473/kartor/A 8266-2022 karta.png", "A 8266-2022")</f>
        <v/>
      </c>
      <c r="Y25">
        <f>HYPERLINK("https://klasma.github.io/Logging_1473/kartor_geotiff/A 8266-2022 georefererad karta.tif", "A 8266-2022")</f>
        <v/>
      </c>
      <c r="AA25">
        <f>HYPERLINK("https://klasma.github.io/Logging_1473/klagomål/A 8266-2022 FSC-klagomål.docx", "A 8266-2022")</f>
        <v/>
      </c>
      <c r="AB25">
        <f>HYPERLINK("https://klasma.github.io/Logging_1473/klagomålsmail/A 8266-2022 FSC-klagomål mail.docx", "A 8266-2022")</f>
        <v/>
      </c>
      <c r="AC25">
        <f>HYPERLINK("https://klasma.github.io/Logging_1473/tillsyn/A 8266-2022 tillsynsbegäran.docx", "A 8266-2022")</f>
        <v/>
      </c>
      <c r="AD25">
        <f>HYPERLINK("https://klasma.github.io/Logging_1473/tillsynsmail/A 8266-2022 tillsynsbegäran mail.docx", "A 8266-2022")</f>
        <v/>
      </c>
    </row>
    <row r="26" ht="15" customHeight="1">
      <c r="A26" t="inlineStr">
        <is>
          <t>A 7772-2022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46261</v>
      </c>
      <c r="F26" t="inlineStr">
        <is>
          <t>VÄSTRA GÖTALANDS LÄN</t>
        </is>
      </c>
      <c r="G26" t="inlineStr">
        <is>
          <t>TÖREBODA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Revlummer</t>
        </is>
      </c>
      <c r="W26">
        <f>HYPERLINK("https://klasma.github.io/Logging_1473/artfynd/A 7772-2022 artfynd.xlsx", "A 7772-2022")</f>
        <v/>
      </c>
      <c r="X26">
        <f>HYPERLINK("https://klasma.github.io/Logging_1473/kartor/A 7772-2022 karta.png", "A 7772-2022")</f>
        <v/>
      </c>
      <c r="Y26">
        <f>HYPERLINK("https://klasma.github.io/Logging_1473/kartor_geotiff/A 7772-2022 georefererad karta.tif", "A 7772-2022")</f>
        <v/>
      </c>
      <c r="AA26">
        <f>HYPERLINK("https://klasma.github.io/Logging_1473/klagomål/A 7772-2022 FSC-klagomål.docx", "A 7772-2022")</f>
        <v/>
      </c>
      <c r="AB26">
        <f>HYPERLINK("https://klasma.github.io/Logging_1473/klagomålsmail/A 7772-2022 FSC-klagomål mail.docx", "A 7772-2022")</f>
        <v/>
      </c>
      <c r="AC26">
        <f>HYPERLINK("https://klasma.github.io/Logging_1473/tillsyn/A 7772-2022 tillsynsbegäran.docx", "A 7772-2022")</f>
        <v/>
      </c>
      <c r="AD26">
        <f>HYPERLINK("https://klasma.github.io/Logging_1473/tillsynsmail/A 7772-2022 tillsynsbegäran mail.docx", "A 7772-2022")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46261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HYPERLINK("https://klasma.github.io/Logging_1473/artfynd/A 30816-2026 artfynd.xlsx", "A 30816-2026")</f>
        <v/>
      </c>
      <c r="X27">
        <f>HYPERLINK("https://klasma.github.io/Logging_1473/kartor/A 30816-2026 karta.png", "A 30816-2026")</f>
        <v/>
      </c>
      <c r="Y27">
        <f>HYPERLINK("https://klasma.github.io/Logging_1473/kartor_geotiff/A 30816-2026 georefererad karta.tif", "A 30816-2026")</f>
        <v/>
      </c>
      <c r="AA27">
        <f>HYPERLINK("https://klasma.github.io/Logging_1473/klagomål/A 30816-2026 FSC-klagomål.docx", "A 30816-2026")</f>
        <v/>
      </c>
      <c r="AB27">
        <f>HYPERLINK("https://klasma.github.io/Logging_1473/klagomålsmail/A 30816-2026 FSC-klagomål mail.docx", "A 30816-2026")</f>
        <v/>
      </c>
      <c r="AC27">
        <f>HYPERLINK("https://klasma.github.io/Logging_1473/tillsyn/A 30816-2026 tillsynsbegäran.docx", "A 30816-2026")</f>
        <v/>
      </c>
      <c r="AD27">
        <f>HYPERLINK("https://klasma.github.io/Logging_1473/tillsynsmail/A 30816-2026 tillsynsbegäran mail.docx", "A 30816-2026")</f>
        <v/>
      </c>
      <c r="AE27">
        <f>HYPERLINK("https://klasma.github.io/Logging_1473/fåglar/A 30816-2026 prioriterade fågelarter.docx", "A 30816-2026")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46261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46261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46261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46261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46261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46261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46261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46261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46261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46261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46261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46261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46261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46261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46261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46261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46261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46261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46261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46261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46261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46261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46261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46261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46261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46261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46261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46261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46261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46261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46261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46261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46261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46261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46261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46261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46261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46261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46261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46261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46261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46261</v>
      </c>
      <c r="F75" t="inlineStr">
        <is>
          <t>VÄSTRA GÖTALANDS LÄN</t>
        </is>
      </c>
      <c r="G75" t="inlineStr">
        <is>
          <t>TÖREBODA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46261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46261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46261</v>
      </c>
      <c r="F78" t="inlineStr">
        <is>
          <t>VÄSTRA GÖTALANDS LÄN</t>
        </is>
      </c>
      <c r="G78" t="inlineStr">
        <is>
          <t>TÖREBODA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46261</v>
      </c>
      <c r="F79" t="inlineStr">
        <is>
          <t>VÄSTRA GÖTALANDS LÄN</t>
        </is>
      </c>
      <c r="G79" t="inlineStr">
        <is>
          <t>TÖREBODA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46261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46261</v>
      </c>
      <c r="F81" t="inlineStr">
        <is>
          <t>VÄSTRA GÖTALANDS LÄN</t>
        </is>
      </c>
      <c r="G81" t="inlineStr">
        <is>
          <t>TÖREBODA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46261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Kyrkan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46261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45493</v>
      </c>
      <c r="E84" s="1" t="n">
        <v>46261</v>
      </c>
      <c r="F84" t="inlineStr">
        <is>
          <t>VÄSTRA GÖTALANDS LÄN</t>
        </is>
      </c>
      <c r="G84" t="inlineStr">
        <is>
          <t>TÖREBODA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45569</v>
      </c>
      <c r="E85" s="1" t="n">
        <v>46261</v>
      </c>
      <c r="F85" t="inlineStr">
        <is>
          <t>VÄSTRA GÖTALANDS LÄN</t>
        </is>
      </c>
      <c r="G85" t="inlineStr">
        <is>
          <t>TÖREBODA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64799-2023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45282</v>
      </c>
      <c r="E86" s="1" t="n">
        <v>46261</v>
      </c>
      <c r="F86" t="inlineStr">
        <is>
          <t>VÄSTRA GÖTALANDS LÄN</t>
        </is>
      </c>
      <c r="G86" t="inlineStr">
        <is>
          <t>TÖREBODA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46261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46261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46261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46261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46261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46261</v>
      </c>
      <c r="F92" t="inlineStr">
        <is>
          <t>VÄSTRA GÖTALANDS LÄN</t>
        </is>
      </c>
      <c r="G92" t="inlineStr">
        <is>
          <t>TÖREBODA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46261</v>
      </c>
      <c r="F93" t="inlineStr">
        <is>
          <t>VÄSTRA GÖTALANDS LÄN</t>
        </is>
      </c>
      <c r="G93" t="inlineStr">
        <is>
          <t>TÖREBODA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26941-2025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45811</v>
      </c>
      <c r="E94" s="1" t="n">
        <v>46261</v>
      </c>
      <c r="F94" t="inlineStr">
        <is>
          <t>VÄSTRA GÖTALANDS LÄN</t>
        </is>
      </c>
      <c r="G94" t="inlineStr">
        <is>
          <t>TÖREBODA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45341</v>
      </c>
      <c r="E95" s="1" t="n">
        <v>46261</v>
      </c>
      <c r="F95" t="inlineStr">
        <is>
          <t>VÄSTRA GÖTALANDS LÄN</t>
        </is>
      </c>
      <c r="G95" t="inlineStr">
        <is>
          <t>TÖREBODA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46261</v>
      </c>
      <c r="F96" t="inlineStr">
        <is>
          <t>VÄSTRA GÖTALANDS LÄN</t>
        </is>
      </c>
      <c r="G96" t="inlineStr">
        <is>
          <t>TÖREBODA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46261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46261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46261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46261</v>
      </c>
      <c r="F100" t="inlineStr">
        <is>
          <t>VÄSTRA GÖTALANDS LÄN</t>
        </is>
      </c>
      <c r="G100" t="inlineStr">
        <is>
          <t>TÖREBODA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46261</v>
      </c>
      <c r="F101" t="inlineStr">
        <is>
          <t>VÄSTRA GÖTALANDS LÄN</t>
        </is>
      </c>
      <c r="G101" t="inlineStr">
        <is>
          <t>TÖREBODA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46261</v>
      </c>
      <c r="F102" t="inlineStr">
        <is>
          <t>VÄSTRA GÖTALANDS LÄN</t>
        </is>
      </c>
      <c r="G102" t="inlineStr">
        <is>
          <t>TÖREBODA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46261</v>
      </c>
      <c r="F103" t="inlineStr">
        <is>
          <t>VÄSTRA GÖTALANDS LÄN</t>
        </is>
      </c>
      <c r="G103" t="inlineStr">
        <is>
          <t>TÖREBODA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46261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46261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46261</v>
      </c>
      <c r="F106" t="inlineStr">
        <is>
          <t>VÄSTRA GÖTALANDS LÄN</t>
        </is>
      </c>
      <c r="G106" t="inlineStr">
        <is>
          <t>TÖREBODA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46261</v>
      </c>
      <c r="F107" t="inlineStr">
        <is>
          <t>VÄSTRA GÖTALANDS LÄN</t>
        </is>
      </c>
      <c r="G107" t="inlineStr">
        <is>
          <t>TÖREBODA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46261</v>
      </c>
      <c r="F108" t="inlineStr">
        <is>
          <t>VÄSTRA GÖTALANDS LÄN</t>
        </is>
      </c>
      <c r="G108" t="inlineStr">
        <is>
          <t>TÖREBODA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46261</v>
      </c>
      <c r="F109" t="inlineStr">
        <is>
          <t>VÄSTRA GÖTALANDS LÄN</t>
        </is>
      </c>
      <c r="G109" t="inlineStr">
        <is>
          <t>TÖREBODA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46261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46261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46261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46261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46261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46261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46261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Övriga statliga verk och myndigheter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46261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46085</v>
      </c>
      <c r="E118" s="1" t="n">
        <v>46261</v>
      </c>
      <c r="F118" t="inlineStr">
        <is>
          <t>VÄSTRA GÖTALANDS LÄN</t>
        </is>
      </c>
      <c r="G118" t="inlineStr">
        <is>
          <t>TÖREBODA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46261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46261</v>
      </c>
      <c r="F120" t="inlineStr">
        <is>
          <t>VÄSTRA GÖTALANDS LÄN</t>
        </is>
      </c>
      <c r="G120" t="inlineStr">
        <is>
          <t>TÖREBODA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46261</v>
      </c>
      <c r="F121" t="inlineStr">
        <is>
          <t>VÄSTRA GÖTALANDS LÄN</t>
        </is>
      </c>
      <c r="G121" t="inlineStr">
        <is>
          <t>TÖREBODA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46261</v>
      </c>
      <c r="F122" t="inlineStr">
        <is>
          <t>VÄSTRA GÖTALANDS LÄN</t>
        </is>
      </c>
      <c r="G122" t="inlineStr">
        <is>
          <t>TÖREBODA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46261</v>
      </c>
      <c r="F123" t="inlineStr">
        <is>
          <t>VÄSTRA GÖTALANDS LÄN</t>
        </is>
      </c>
      <c r="G123" t="inlineStr">
        <is>
          <t>TÖREBODA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49177-2025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46261</v>
      </c>
      <c r="F124" t="inlineStr">
        <is>
          <t>VÄSTRA GÖTALANDS LÄN</t>
        </is>
      </c>
      <c r="G124" t="inlineStr">
        <is>
          <t>TÖREBODA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46261</v>
      </c>
      <c r="F125" t="inlineStr">
        <is>
          <t>VÄSTRA GÖTALANDS LÄN</t>
        </is>
      </c>
      <c r="G125" t="inlineStr">
        <is>
          <t>TÖREBODA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46261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46261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45414</v>
      </c>
      <c r="E128" s="1" t="n">
        <v>46261</v>
      </c>
      <c r="F128" t="inlineStr">
        <is>
          <t>VÄSTRA GÖTALANDS LÄN</t>
        </is>
      </c>
      <c r="G128" t="inlineStr">
        <is>
          <t>TÖREBODA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46261</v>
      </c>
      <c r="F129" t="inlineStr">
        <is>
          <t>VÄSTRA GÖTALANDS LÄN</t>
        </is>
      </c>
      <c r="G129" t="inlineStr">
        <is>
          <t>TÖREBODA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45627</v>
      </c>
      <c r="E130" s="1" t="n">
        <v>46261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15567-2026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46106</v>
      </c>
      <c r="E131" s="1" t="n">
        <v>46261</v>
      </c>
      <c r="F131" t="inlineStr">
        <is>
          <t>VÄSTRA GÖTALANDS LÄN</t>
        </is>
      </c>
      <c r="G131" t="inlineStr">
        <is>
          <t>TÖREBODA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46261</v>
      </c>
      <c r="F132" t="inlineStr">
        <is>
          <t>VÄSTRA GÖTALANDS LÄN</t>
        </is>
      </c>
      <c r="G132" t="inlineStr">
        <is>
          <t>TÖREBODA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46261</v>
      </c>
      <c r="F133" t="inlineStr">
        <is>
          <t>VÄSTRA GÖTALANDS LÄN</t>
        </is>
      </c>
      <c r="G133" t="inlineStr">
        <is>
          <t>TÖREBODA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46261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46261</v>
      </c>
      <c r="F135" t="inlineStr">
        <is>
          <t>VÄSTRA GÖTALANDS LÄN</t>
        </is>
      </c>
      <c r="G135" t="inlineStr">
        <is>
          <t>TÖREBODA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46261</v>
      </c>
      <c r="F136" t="inlineStr">
        <is>
          <t>VÄSTRA GÖTALANDS LÄN</t>
        </is>
      </c>
      <c r="G136" t="inlineStr">
        <is>
          <t>TÖREBODA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46261</v>
      </c>
      <c r="F137" t="inlineStr">
        <is>
          <t>VÄSTRA GÖTALANDS LÄN</t>
        </is>
      </c>
      <c r="G137" t="inlineStr">
        <is>
          <t>TÖREBODA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46261</v>
      </c>
      <c r="F138" t="inlineStr">
        <is>
          <t>VÄSTRA GÖTALANDS LÄN</t>
        </is>
      </c>
      <c r="G138" t="inlineStr">
        <is>
          <t>TÖREBODA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44988</v>
      </c>
      <c r="E139" s="1" t="n">
        <v>46261</v>
      </c>
      <c r="F139" t="inlineStr">
        <is>
          <t>VÄSTRA GÖTALANDS LÄN</t>
        </is>
      </c>
      <c r="G139" t="inlineStr">
        <is>
          <t>TÖREBODA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46261</v>
      </c>
      <c r="F140" t="inlineStr">
        <is>
          <t>VÄSTRA GÖTALANDS LÄN</t>
        </is>
      </c>
      <c r="G140" t="inlineStr">
        <is>
          <t>TÖREBODA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46261</v>
      </c>
      <c r="F141" t="inlineStr">
        <is>
          <t>VÄSTRA GÖTALANDS LÄN</t>
        </is>
      </c>
      <c r="G141" t="inlineStr">
        <is>
          <t>TÖREBODA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45961</v>
      </c>
      <c r="E142" s="1" t="n">
        <v>46261</v>
      </c>
      <c r="F142" t="inlineStr">
        <is>
          <t>VÄSTRA GÖTALANDS LÄN</t>
        </is>
      </c>
      <c r="G142" t="inlineStr">
        <is>
          <t>TÖREBODA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46261</v>
      </c>
      <c r="F143" t="inlineStr">
        <is>
          <t>VÄSTRA GÖTALANDS LÄN</t>
        </is>
      </c>
      <c r="G143" t="inlineStr">
        <is>
          <t>TÖREBODA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46261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55593-2025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45971</v>
      </c>
      <c r="E145" s="1" t="n">
        <v>46261</v>
      </c>
      <c r="F145" t="inlineStr">
        <is>
          <t>VÄSTRA GÖTALANDS LÄN</t>
        </is>
      </c>
      <c r="G145" t="inlineStr">
        <is>
          <t>TÖREBODA</t>
        </is>
      </c>
      <c r="I145" t="n">
        <v>20.8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46261</v>
      </c>
      <c r="F146" t="inlineStr">
        <is>
          <t>VÄSTRA GÖTALANDS LÄN</t>
        </is>
      </c>
      <c r="G146" t="inlineStr">
        <is>
          <t>TÖREBODA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46261</v>
      </c>
      <c r="F147" t="inlineStr">
        <is>
          <t>VÄSTRA GÖTALANDS LÄN</t>
        </is>
      </c>
      <c r="G147" t="inlineStr">
        <is>
          <t>TÖREBODA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46261</v>
      </c>
      <c r="F148" t="inlineStr">
        <is>
          <t>VÄSTRA GÖTALANDS LÄN</t>
        </is>
      </c>
      <c r="G148" t="inlineStr">
        <is>
          <t>TÖREBODA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46261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46134</v>
      </c>
      <c r="E150" s="1" t="n">
        <v>46261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55766-2025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45972</v>
      </c>
      <c r="E151" s="1" t="n">
        <v>46261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46261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46261</v>
      </c>
      <c r="F153" t="inlineStr">
        <is>
          <t>VÄSTRA GÖTALANDS LÄN</t>
        </is>
      </c>
      <c r="G153" t="inlineStr">
        <is>
          <t>TÖREBODA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45127</v>
      </c>
      <c r="E154" s="1" t="n">
        <v>46261</v>
      </c>
      <c r="F154" t="inlineStr">
        <is>
          <t>VÄSTRA GÖTALANDS LÄN</t>
        </is>
      </c>
      <c r="G154" t="inlineStr">
        <is>
          <t>TÖREBODA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46261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46261</v>
      </c>
      <c r="F156" t="inlineStr">
        <is>
          <t>VÄSTRA GÖTALANDS LÄN</t>
        </is>
      </c>
      <c r="G156" t="inlineStr">
        <is>
          <t>TÖREBODA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46261</v>
      </c>
      <c r="F157" t="inlineStr">
        <is>
          <t>VÄSTRA GÖTALANDS LÄN</t>
        </is>
      </c>
      <c r="G157" t="inlineStr">
        <is>
          <t>TÖREBODA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46261</v>
      </c>
      <c r="F158" t="inlineStr">
        <is>
          <t>VÄSTRA GÖTALANDS LÄN</t>
        </is>
      </c>
      <c r="G158" t="inlineStr">
        <is>
          <t>TÖREBODA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45399</v>
      </c>
      <c r="E159" s="1" t="n">
        <v>46261</v>
      </c>
      <c r="F159" t="inlineStr">
        <is>
          <t>VÄSTRA GÖTALANDS LÄN</t>
        </is>
      </c>
      <c r="G159" t="inlineStr">
        <is>
          <t>TÖREBODA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46261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46261</v>
      </c>
      <c r="F161" t="inlineStr">
        <is>
          <t>VÄSTRA GÖTALANDS LÄN</t>
        </is>
      </c>
      <c r="G161" t="inlineStr">
        <is>
          <t>TÖREBODA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46261</v>
      </c>
      <c r="F162" t="inlineStr">
        <is>
          <t>VÄSTRA GÖTALANDS LÄN</t>
        </is>
      </c>
      <c r="G162" t="inlineStr">
        <is>
          <t>TÖREBODA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46261</v>
      </c>
      <c r="F163" t="inlineStr">
        <is>
          <t>VÄSTRA GÖTALANDS LÄN</t>
        </is>
      </c>
      <c r="G163" t="inlineStr">
        <is>
          <t>TÖREBODA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44923</v>
      </c>
      <c r="E164" s="1" t="n">
        <v>46261</v>
      </c>
      <c r="F164" t="inlineStr">
        <is>
          <t>VÄSTRA GÖTALANDS LÄN</t>
        </is>
      </c>
      <c r="G164" t="inlineStr">
        <is>
          <t>TÖREBODA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45579</v>
      </c>
      <c r="E165" s="1" t="n">
        <v>46261</v>
      </c>
      <c r="F165" t="inlineStr">
        <is>
          <t>VÄSTRA GÖTALANDS LÄN</t>
        </is>
      </c>
      <c r="G165" t="inlineStr">
        <is>
          <t>TÖREBODA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46261</v>
      </c>
      <c r="F166" t="inlineStr">
        <is>
          <t>VÄSTRA GÖTALANDS LÄN</t>
        </is>
      </c>
      <c r="G166" t="inlineStr">
        <is>
          <t>TÖREBODA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46261</v>
      </c>
      <c r="F167" t="inlineStr">
        <is>
          <t>VÄSTRA GÖTALANDS LÄN</t>
        </is>
      </c>
      <c r="G167" t="inlineStr">
        <is>
          <t>TÖREBODA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46152</v>
      </c>
      <c r="E168" s="1" t="n">
        <v>46261</v>
      </c>
      <c r="F168" t="inlineStr">
        <is>
          <t>VÄSTRA GÖTALANDS LÄN</t>
        </is>
      </c>
      <c r="G168" t="inlineStr">
        <is>
          <t>TÖREBODA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46261</v>
      </c>
      <c r="F169" t="inlineStr">
        <is>
          <t>VÄSTRA GÖTALANDS LÄN</t>
        </is>
      </c>
      <c r="G169" t="inlineStr">
        <is>
          <t>TÖREBODA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46261</v>
      </c>
      <c r="F170" t="inlineStr">
        <is>
          <t>VÄSTRA GÖTALANDS LÄN</t>
        </is>
      </c>
      <c r="G170" t="inlineStr">
        <is>
          <t>TÖREBODA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46261</v>
      </c>
      <c r="F171" t="inlineStr">
        <is>
          <t>VÄSTRA GÖTALANDS LÄN</t>
        </is>
      </c>
      <c r="G171" t="inlineStr">
        <is>
          <t>TÖREBODA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46261</v>
      </c>
      <c r="F172" t="inlineStr">
        <is>
          <t>VÄSTRA GÖTALANDS LÄN</t>
        </is>
      </c>
      <c r="G172" t="inlineStr">
        <is>
          <t>TÖREBODA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46261</v>
      </c>
      <c r="F173" t="inlineStr">
        <is>
          <t>VÄSTRA GÖTALANDS LÄN</t>
        </is>
      </c>
      <c r="G173" t="inlineStr">
        <is>
          <t>TÖREBODA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46261</v>
      </c>
      <c r="F174" t="inlineStr">
        <is>
          <t>VÄSTRA GÖTALANDS LÄN</t>
        </is>
      </c>
      <c r="G174" t="inlineStr">
        <is>
          <t>TÖREBODA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46261</v>
      </c>
      <c r="F175" t="inlineStr">
        <is>
          <t>VÄSTRA GÖTALANDS LÄN</t>
        </is>
      </c>
      <c r="G175" t="inlineStr">
        <is>
          <t>TÖREBODA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46261</v>
      </c>
      <c r="F176" t="inlineStr">
        <is>
          <t>VÄSTRA GÖTALANDS LÄN</t>
        </is>
      </c>
      <c r="G176" t="inlineStr">
        <is>
          <t>TÖREBODA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45328</v>
      </c>
      <c r="E177" s="1" t="n">
        <v>46261</v>
      </c>
      <c r="F177" t="inlineStr">
        <is>
          <t>VÄSTRA GÖTALANDS LÄN</t>
        </is>
      </c>
      <c r="G177" t="inlineStr">
        <is>
          <t>TÖREBODA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46261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46261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Övriga Aktiebolag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46261</v>
      </c>
      <c r="F180" t="inlineStr">
        <is>
          <t>VÄSTRA GÖTALANDS LÄN</t>
        </is>
      </c>
      <c r="G180" t="inlineStr">
        <is>
          <t>TÖREBODA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44483</v>
      </c>
      <c r="E181" s="1" t="n">
        <v>46261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46168</v>
      </c>
      <c r="E182" s="1" t="n">
        <v>46261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46261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46261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46261</v>
      </c>
      <c r="F185" t="inlineStr">
        <is>
          <t>VÄSTRA GÖTALANDS LÄN</t>
        </is>
      </c>
      <c r="G185" t="inlineStr">
        <is>
          <t>TÖREBODA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44987</v>
      </c>
      <c r="E186" s="1" t="n">
        <v>46261</v>
      </c>
      <c r="F186" t="inlineStr">
        <is>
          <t>VÄSTRA GÖTALANDS LÄN</t>
        </is>
      </c>
      <c r="G186" t="inlineStr">
        <is>
          <t>TÖREBODA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45627</v>
      </c>
      <c r="E187" s="1" t="n">
        <v>46261</v>
      </c>
      <c r="F187" t="inlineStr">
        <is>
          <t>VÄSTRA GÖTALANDS LÄN</t>
        </is>
      </c>
      <c r="G187" t="inlineStr">
        <is>
          <t>TÖREBODA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46261</v>
      </c>
      <c r="F188" t="inlineStr">
        <is>
          <t>VÄSTRA GÖTALANDS LÄN</t>
        </is>
      </c>
      <c r="G188" t="inlineStr">
        <is>
          <t>TÖREBODA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46261</v>
      </c>
      <c r="F189" t="inlineStr">
        <is>
          <t>VÄSTRA GÖTALANDS LÄN</t>
        </is>
      </c>
      <c r="G189" t="inlineStr">
        <is>
          <t>TÖREBODA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6442-2025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45699</v>
      </c>
      <c r="E190" s="1" t="n">
        <v>46261</v>
      </c>
      <c r="F190" t="inlineStr">
        <is>
          <t>VÄSTRA GÖTALANDS LÄN</t>
        </is>
      </c>
      <c r="G190" t="inlineStr">
        <is>
          <t>TÖREBODA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44782</v>
      </c>
      <c r="E191" s="1" t="n">
        <v>46261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46261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44756</v>
      </c>
      <c r="E193" s="1" t="n">
        <v>46261</v>
      </c>
      <c r="F193" t="inlineStr">
        <is>
          <t>VÄSTRA GÖTALANDS LÄN</t>
        </is>
      </c>
      <c r="G193" t="inlineStr">
        <is>
          <t>TÖREBODA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46261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Övriga statliga verk och myndigheter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46261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46261</v>
      </c>
      <c r="F196" t="inlineStr">
        <is>
          <t>VÄSTRA GÖTALANDS LÄN</t>
        </is>
      </c>
      <c r="G196" t="inlineStr">
        <is>
          <t>TÖREBODA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46261</v>
      </c>
      <c r="F197" t="inlineStr">
        <is>
          <t>VÄSTRA GÖTALANDS LÄN</t>
        </is>
      </c>
      <c r="G197" t="inlineStr">
        <is>
          <t>TÖREBODA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45425</v>
      </c>
      <c r="E198" s="1" t="n">
        <v>46261</v>
      </c>
      <c r="F198" t="inlineStr">
        <is>
          <t>VÄSTRA GÖTALANDS LÄN</t>
        </is>
      </c>
      <c r="G198" t="inlineStr">
        <is>
          <t>TÖREBODA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46261</v>
      </c>
      <c r="F199" t="inlineStr">
        <is>
          <t>VÄSTRA GÖTALANDS LÄN</t>
        </is>
      </c>
      <c r="G199" t="inlineStr">
        <is>
          <t>TÖREBODA</t>
        </is>
      </c>
      <c r="I199" t="n">
        <v>49.4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44924</v>
      </c>
      <c r="E200" s="1" t="n">
        <v>46261</v>
      </c>
      <c r="F200" t="inlineStr">
        <is>
          <t>VÄSTRA GÖTALANDS LÄN</t>
        </is>
      </c>
      <c r="G200" t="inlineStr">
        <is>
          <t>TÖREBODA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45754</v>
      </c>
      <c r="E201" s="1" t="n">
        <v>46261</v>
      </c>
      <c r="F201" t="inlineStr">
        <is>
          <t>VÄSTRA GÖTALANDS LÄN</t>
        </is>
      </c>
      <c r="G201" t="inlineStr">
        <is>
          <t>TÖREBODA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46261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46261</v>
      </c>
      <c r="F203" t="inlineStr">
        <is>
          <t>VÄSTRA GÖTALANDS LÄN</t>
        </is>
      </c>
      <c r="G203" t="inlineStr">
        <is>
          <t>TÖREBODA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46261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46261</v>
      </c>
      <c r="F205" t="inlineStr">
        <is>
          <t>VÄSTRA GÖTALANDS LÄN</t>
        </is>
      </c>
      <c r="G205" t="inlineStr">
        <is>
          <t>TÖREBODA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45231</v>
      </c>
      <c r="E206" s="1" t="n">
        <v>46261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45450</v>
      </c>
      <c r="E207" s="1" t="n">
        <v>46261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46261</v>
      </c>
      <c r="F208" t="inlineStr">
        <is>
          <t>VÄSTRA GÖTALANDS LÄN</t>
        </is>
      </c>
      <c r="G208" t="inlineStr">
        <is>
          <t>TÖREBODA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46248</v>
      </c>
      <c r="E209" s="1" t="n">
        <v>46261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46248</v>
      </c>
      <c r="E210" s="1" t="n">
        <v>46261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46261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46261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45309</v>
      </c>
      <c r="E213" s="1" t="n">
        <v>46261</v>
      </c>
      <c r="F213" t="inlineStr">
        <is>
          <t>VÄSTRA GÖTALANDS LÄN</t>
        </is>
      </c>
      <c r="G213" t="inlineStr">
        <is>
          <t>TÖREBODA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46261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46261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Sveaskog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46261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46251</v>
      </c>
      <c r="E217" s="1" t="n">
        <v>46261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45133</v>
      </c>
      <c r="E218" s="1" t="n">
        <v>46261</v>
      </c>
      <c r="F218" t="inlineStr">
        <is>
          <t>VÄSTRA GÖTALANDS LÄN</t>
        </is>
      </c>
      <c r="G218" t="inlineStr">
        <is>
          <t>TÖREBODA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46261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46261</v>
      </c>
      <c r="F220" t="inlineStr">
        <is>
          <t>VÄSTRA GÖTALANDS LÄN</t>
        </is>
      </c>
      <c r="G220" t="inlineStr">
        <is>
          <t>TÖREBODA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46248</v>
      </c>
      <c r="E221" s="1" t="n">
        <v>46261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46261</v>
      </c>
      <c r="F222" t="inlineStr">
        <is>
          <t>VÄSTRA GÖTALANDS LÄN</t>
        </is>
      </c>
      <c r="G222" t="inlineStr">
        <is>
          <t>TÖREBODA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46261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46261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45556</v>
      </c>
      <c r="E225" s="1" t="n">
        <v>46261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46261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46261</v>
      </c>
      <c r="F227" t="inlineStr">
        <is>
          <t>VÄSTRA GÖTALANDS LÄN</t>
        </is>
      </c>
      <c r="G227" t="inlineStr">
        <is>
          <t>TÖREBODA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45457</v>
      </c>
      <c r="E228" s="1" t="n">
        <v>46261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39660-2024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45552</v>
      </c>
      <c r="E229" s="1" t="n">
        <v>46261</v>
      </c>
      <c r="F229" t="inlineStr">
        <is>
          <t>VÄSTRA GÖTALANDS LÄN</t>
        </is>
      </c>
      <c r="G229" t="inlineStr">
        <is>
          <t>TÖREBODA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45627</v>
      </c>
      <c r="E230" s="1" t="n">
        <v>46261</v>
      </c>
      <c r="F230" t="inlineStr">
        <is>
          <t>VÄSTRA GÖTALANDS LÄN</t>
        </is>
      </c>
      <c r="G230" t="inlineStr">
        <is>
          <t>TÖREBODA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46261</v>
      </c>
      <c r="F231" t="inlineStr">
        <is>
          <t>VÄSTRA GÖTALANDS LÄN</t>
        </is>
      </c>
      <c r="G231" t="inlineStr">
        <is>
          <t>TÖREBODA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46261</v>
      </c>
      <c r="F232" t="inlineStr">
        <is>
          <t>VÄSTRA GÖTALANDS LÄN</t>
        </is>
      </c>
      <c r="G232" t="inlineStr">
        <is>
          <t>TÖREBODA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44664</v>
      </c>
      <c r="E233" s="1" t="n">
        <v>46261</v>
      </c>
      <c r="F233" t="inlineStr">
        <is>
          <t>VÄSTRA GÖTALANDS LÄN</t>
        </is>
      </c>
      <c r="G233" t="inlineStr">
        <is>
          <t>TÖREBODA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46261</v>
      </c>
      <c r="F234" t="inlineStr">
        <is>
          <t>VÄSTRA GÖTALANDS LÄN</t>
        </is>
      </c>
      <c r="G234" t="inlineStr">
        <is>
          <t>TÖREBODA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46261</v>
      </c>
      <c r="F235" t="inlineStr">
        <is>
          <t>VÄSTRA GÖTALANDS LÄN</t>
        </is>
      </c>
      <c r="G235" t="inlineStr">
        <is>
          <t>TÖREBODA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46261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Övriga Aktiebolag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46261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45236</v>
      </c>
      <c r="E238" s="1" t="n">
        <v>46261</v>
      </c>
      <c r="F238" t="inlineStr">
        <is>
          <t>VÄSTRA GÖTALANDS LÄN</t>
        </is>
      </c>
      <c r="G238" t="inlineStr">
        <is>
          <t>TÖREBODA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44697</v>
      </c>
      <c r="E239" s="1" t="n">
        <v>46261</v>
      </c>
      <c r="F239" t="inlineStr">
        <is>
          <t>VÄSTRA GÖTALANDS LÄN</t>
        </is>
      </c>
      <c r="G239" t="inlineStr">
        <is>
          <t>TÖREBODA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46261</v>
      </c>
      <c r="F240" t="inlineStr">
        <is>
          <t>VÄSTRA GÖTALANDS LÄN</t>
        </is>
      </c>
      <c r="G240" t="inlineStr">
        <is>
          <t>TÖREBODA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45531</v>
      </c>
      <c r="E241" s="1" t="n">
        <v>46261</v>
      </c>
      <c r="F241" t="inlineStr">
        <is>
          <t>VÄSTRA GÖTALANDS LÄN</t>
        </is>
      </c>
      <c r="G241" t="inlineStr">
        <is>
          <t>TÖREBODA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46261</v>
      </c>
      <c r="F242" t="inlineStr">
        <is>
          <t>VÄSTRA GÖTALANDS LÄN</t>
        </is>
      </c>
      <c r="G242" t="inlineStr">
        <is>
          <t>TÖREBODA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46261</v>
      </c>
      <c r="F243" t="inlineStr">
        <is>
          <t>VÄSTRA GÖTALANDS LÄN</t>
        </is>
      </c>
      <c r="G243" t="inlineStr">
        <is>
          <t>TÖREBODA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46261</v>
      </c>
      <c r="F244" t="inlineStr">
        <is>
          <t>VÄSTRA GÖTALANDS LÄN</t>
        </is>
      </c>
      <c r="G244" t="inlineStr">
        <is>
          <t>TÖREBODA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28965-2022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44749</v>
      </c>
      <c r="E245" s="1" t="n">
        <v>46261</v>
      </c>
      <c r="F245" t="inlineStr">
        <is>
          <t>VÄSTRA GÖTALANDS LÄN</t>
        </is>
      </c>
      <c r="G245" t="inlineStr">
        <is>
          <t>TÖREBODA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28196-2022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44746</v>
      </c>
      <c r="E246" s="1" t="n">
        <v>46261</v>
      </c>
      <c r="F246" t="inlineStr">
        <is>
          <t>VÄSTRA GÖTALANDS LÄN</t>
        </is>
      </c>
      <c r="G246" t="inlineStr">
        <is>
          <t>TÖREBODA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46261</v>
      </c>
      <c r="F247" t="inlineStr">
        <is>
          <t>VÄSTRA GÖTALANDS LÄN</t>
        </is>
      </c>
      <c r="G247" t="inlineStr">
        <is>
          <t>TÖREBODA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46261</v>
      </c>
      <c r="F248" t="inlineStr">
        <is>
          <t>VÄSTRA GÖTALANDS LÄN</t>
        </is>
      </c>
      <c r="G248" t="inlineStr">
        <is>
          <t>TÖREBODA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45448</v>
      </c>
      <c r="E249" s="1" t="n">
        <v>46261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Övriga statliga verk och myndigheter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46261</v>
      </c>
      <c r="F250" t="inlineStr">
        <is>
          <t>VÄSTRA GÖTALANDS LÄN</t>
        </is>
      </c>
      <c r="G250" t="inlineStr">
        <is>
          <t>TÖREBODA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46261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46261</v>
      </c>
      <c r="F252" t="inlineStr">
        <is>
          <t>VÄSTRA GÖTALANDS LÄN</t>
        </is>
      </c>
      <c r="G252" t="inlineStr">
        <is>
          <t>TÖREBODA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46261</v>
      </c>
      <c r="F253" t="inlineStr">
        <is>
          <t>VÄSTRA GÖTALANDS LÄN</t>
        </is>
      </c>
      <c r="G253" t="inlineStr">
        <is>
          <t>TÖREBODA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46261</v>
      </c>
      <c r="F254" t="inlineStr">
        <is>
          <t>VÄSTRA GÖTALANDS LÄN</t>
        </is>
      </c>
      <c r="G254" t="inlineStr">
        <is>
          <t>TÖREBODA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45651</v>
      </c>
      <c r="E255" s="1" t="n">
        <v>46261</v>
      </c>
      <c r="F255" t="inlineStr">
        <is>
          <t>VÄSTRA GÖTALANDS LÄN</t>
        </is>
      </c>
      <c r="G255" t="inlineStr">
        <is>
          <t>TÖREBODA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46261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44858</v>
      </c>
      <c r="E257" s="1" t="n">
        <v>46261</v>
      </c>
      <c r="F257" t="inlineStr">
        <is>
          <t>VÄSTRA GÖTALANDS LÄN</t>
        </is>
      </c>
      <c r="G257" t="inlineStr">
        <is>
          <t>TÖREBODA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46261</v>
      </c>
      <c r="F258" t="inlineStr">
        <is>
          <t>VÄSTRA GÖTALANDS LÄN</t>
        </is>
      </c>
      <c r="G258" t="inlineStr">
        <is>
          <t>TÖREBODA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46261</v>
      </c>
      <c r="F259" t="inlineStr">
        <is>
          <t>VÄSTRA GÖTALANDS LÄN</t>
        </is>
      </c>
      <c r="G259" t="inlineStr">
        <is>
          <t>TÖREBODA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46261</v>
      </c>
      <c r="F260" t="inlineStr">
        <is>
          <t>VÄSTRA GÖTALANDS LÄN</t>
        </is>
      </c>
      <c r="G260" t="inlineStr">
        <is>
          <t>TÖREBODA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46261</v>
      </c>
      <c r="F261" t="inlineStr">
        <is>
          <t>VÄSTRA GÖTALANDS LÄN</t>
        </is>
      </c>
      <c r="G261" t="inlineStr">
        <is>
          <t>TÖREBODA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46261</v>
      </c>
      <c r="F262" t="inlineStr">
        <is>
          <t>VÄSTRA GÖTALANDS LÄN</t>
        </is>
      </c>
      <c r="G262" t="inlineStr">
        <is>
          <t>TÖREBODA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46261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46261</v>
      </c>
      <c r="F264" t="inlineStr">
        <is>
          <t>VÄSTRA GÖTALANDS LÄN</t>
        </is>
      </c>
      <c r="G264" t="inlineStr">
        <is>
          <t>TÖREBODA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46261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Kyrkan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44599</v>
      </c>
      <c r="E266" s="1" t="n">
        <v>46261</v>
      </c>
      <c r="F266" t="inlineStr">
        <is>
          <t>VÄSTRA GÖTALANDS LÄN</t>
        </is>
      </c>
      <c r="G266" t="inlineStr">
        <is>
          <t>TÖREBODA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46261</v>
      </c>
      <c r="F267" t="inlineStr">
        <is>
          <t>VÄSTRA GÖTALANDS LÄN</t>
        </is>
      </c>
      <c r="G267" t="inlineStr">
        <is>
          <t>TÖREBODA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46261</v>
      </c>
      <c r="F268" t="inlineStr">
        <is>
          <t>VÄSTRA GÖTALANDS LÄN</t>
        </is>
      </c>
      <c r="G268" t="inlineStr">
        <is>
          <t>TÖREBODA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46261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46261</v>
      </c>
      <c r="F270" t="inlineStr">
        <is>
          <t>VÄSTRA GÖTALANDS LÄN</t>
        </is>
      </c>
      <c r="G270" t="inlineStr">
        <is>
          <t>TÖREBODA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46261</v>
      </c>
      <c r="F271" t="inlineStr">
        <is>
          <t>VÄSTRA GÖTALANDS LÄN</t>
        </is>
      </c>
      <c r="G271" t="inlineStr">
        <is>
          <t>TÖREBODA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46261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Övriga statliga verk och myndigheter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44972</v>
      </c>
      <c r="E273" s="1" t="n">
        <v>46261</v>
      </c>
      <c r="F273" t="inlineStr">
        <is>
          <t>VÄSTRA GÖTALANDS LÄN</t>
        </is>
      </c>
      <c r="G273" t="inlineStr">
        <is>
          <t>TÖREBODA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44746</v>
      </c>
      <c r="E274" s="1" t="n">
        <v>46261</v>
      </c>
      <c r="F274" t="inlineStr">
        <is>
          <t>VÄSTRA GÖTALANDS LÄN</t>
        </is>
      </c>
      <c r="G274" t="inlineStr">
        <is>
          <t>TÖREBODA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45142</v>
      </c>
      <c r="E275" s="1" t="n">
        <v>46261</v>
      </c>
      <c r="F275" t="inlineStr">
        <is>
          <t>VÄSTRA GÖTALANDS LÄN</t>
        </is>
      </c>
      <c r="G275" t="inlineStr">
        <is>
          <t>TÖREBODA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6446-2025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45699</v>
      </c>
      <c r="E276" s="1" t="n">
        <v>46261</v>
      </c>
      <c r="F276" t="inlineStr">
        <is>
          <t>VÄSTRA GÖTALANDS LÄN</t>
        </is>
      </c>
      <c r="G276" t="inlineStr">
        <is>
          <t>TÖREBODA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46261</v>
      </c>
      <c r="F277" t="inlineStr">
        <is>
          <t>VÄSTRA GÖTALANDS LÄN</t>
        </is>
      </c>
      <c r="G277" t="inlineStr">
        <is>
          <t>TÖREBODA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45349</v>
      </c>
      <c r="E278" s="1" t="n">
        <v>46261</v>
      </c>
      <c r="F278" t="inlineStr">
        <is>
          <t>VÄSTRA GÖTALANDS LÄN</t>
        </is>
      </c>
      <c r="G278" t="inlineStr">
        <is>
          <t>TÖREBODA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44987</v>
      </c>
      <c r="E279" s="1" t="n">
        <v>46261</v>
      </c>
      <c r="F279" t="inlineStr">
        <is>
          <t>VÄSTRA GÖTALANDS LÄN</t>
        </is>
      </c>
      <c r="G279" t="inlineStr">
        <is>
          <t>TÖREBODA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44987</v>
      </c>
      <c r="E280" s="1" t="n">
        <v>46261</v>
      </c>
      <c r="F280" t="inlineStr">
        <is>
          <t>VÄSTRA GÖTALANDS LÄN</t>
        </is>
      </c>
      <c r="G280" t="inlineStr">
        <is>
          <t>TÖREBODA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44956</v>
      </c>
      <c r="E281" s="1" t="n">
        <v>46261</v>
      </c>
      <c r="F281" t="inlineStr">
        <is>
          <t>VÄSTRA GÖTALANDS LÄN</t>
        </is>
      </c>
      <c r="G281" t="inlineStr">
        <is>
          <t>TÖREBODA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44792</v>
      </c>
      <c r="E282" s="1" t="n">
        <v>46261</v>
      </c>
      <c r="F282" t="inlineStr">
        <is>
          <t>VÄSTRA GÖTALANDS LÄN</t>
        </is>
      </c>
      <c r="G282" t="inlineStr">
        <is>
          <t>TÖREBODA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45625</v>
      </c>
      <c r="E283" s="1" t="n">
        <v>46261</v>
      </c>
      <c r="F283" t="inlineStr">
        <is>
          <t>VÄSTRA GÖTALANDS LÄN</t>
        </is>
      </c>
      <c r="G283" t="inlineStr">
        <is>
          <t>TÖREBODA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4194-2024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45324</v>
      </c>
      <c r="E284" s="1" t="n">
        <v>46261</v>
      </c>
      <c r="F284" t="inlineStr">
        <is>
          <t>VÄSTRA GÖTALANDS LÄN</t>
        </is>
      </c>
      <c r="G284" t="inlineStr">
        <is>
          <t>TÖREBODA</t>
        </is>
      </c>
      <c r="I284" t="n">
        <v>28.9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45322</v>
      </c>
      <c r="E285" s="1" t="n">
        <v>46261</v>
      </c>
      <c r="F285" t="inlineStr">
        <is>
          <t>VÄSTRA GÖTALANDS LÄN</t>
        </is>
      </c>
      <c r="G285" t="inlineStr">
        <is>
          <t>TÖREBODA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45056</v>
      </c>
      <c r="E286" s="1" t="n">
        <v>46261</v>
      </c>
      <c r="F286" t="inlineStr">
        <is>
          <t>VÄSTRA GÖTALANDS LÄN</t>
        </is>
      </c>
      <c r="G286" t="inlineStr">
        <is>
          <t>TÖREBODA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27086-2022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44741</v>
      </c>
      <c r="E287" s="1" t="n">
        <v>46261</v>
      </c>
      <c r="F287" t="inlineStr">
        <is>
          <t>VÄSTRA GÖTALANDS LÄN</t>
        </is>
      </c>
      <c r="G287" t="inlineStr">
        <is>
          <t>TÖREBODA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56831-2022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44894</v>
      </c>
      <c r="E288" s="1" t="n">
        <v>46261</v>
      </c>
      <c r="F288" t="inlineStr">
        <is>
          <t>VÄSTRA GÖTALANDS LÄN</t>
        </is>
      </c>
      <c r="G288" t="inlineStr">
        <is>
          <t>TÖREBODA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45750</v>
      </c>
      <c r="E289" s="1" t="n">
        <v>46261</v>
      </c>
      <c r="F289" t="inlineStr">
        <is>
          <t>VÄSTRA GÖTALANDS LÄN</t>
        </is>
      </c>
      <c r="G289" t="inlineStr">
        <is>
          <t>TÖREBODA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46261</v>
      </c>
      <c r="F290" t="inlineStr">
        <is>
          <t>VÄSTRA GÖTALANDS LÄN</t>
        </is>
      </c>
      <c r="G290" t="inlineStr">
        <is>
          <t>TÖREBODA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46261</v>
      </c>
      <c r="F291" t="inlineStr">
        <is>
          <t>VÄSTRA GÖTALANDS LÄN</t>
        </is>
      </c>
      <c r="G291" t="inlineStr">
        <is>
          <t>TÖREBODA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41627-2022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44827</v>
      </c>
      <c r="E292" s="1" t="n">
        <v>46261</v>
      </c>
      <c r="F292" t="inlineStr">
        <is>
          <t>VÄSTRA GÖTALANDS LÄN</t>
        </is>
      </c>
      <c r="G292" t="inlineStr">
        <is>
          <t>TÖREBODA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41632-2022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44827</v>
      </c>
      <c r="E293" s="1" t="n">
        <v>46261</v>
      </c>
      <c r="F293" t="inlineStr">
        <is>
          <t>VÄSTRA GÖTALANDS LÄN</t>
        </is>
      </c>
      <c r="G293" t="inlineStr">
        <is>
          <t>TÖREBODA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45552</v>
      </c>
      <c r="E294" s="1" t="n">
        <v>46261</v>
      </c>
      <c r="F294" t="inlineStr">
        <is>
          <t>VÄSTRA GÖTALANDS LÄN</t>
        </is>
      </c>
      <c r="G294" t="inlineStr">
        <is>
          <t>TÖREBODA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46261</v>
      </c>
      <c r="F295" t="inlineStr">
        <is>
          <t>VÄSTRA GÖTALANDS LÄN</t>
        </is>
      </c>
      <c r="G295" t="inlineStr">
        <is>
          <t>TÖREBODA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45552</v>
      </c>
      <c r="E296" s="1" t="n">
        <v>46261</v>
      </c>
      <c r="F296" t="inlineStr">
        <is>
          <t>VÄSTRA GÖTALANDS LÄN</t>
        </is>
      </c>
      <c r="G296" t="inlineStr">
        <is>
          <t>TÖREBODA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46261</v>
      </c>
      <c r="F297" t="inlineStr">
        <is>
          <t>VÄSTRA GÖTALANDS LÄN</t>
        </is>
      </c>
      <c r="G297" t="inlineStr">
        <is>
          <t>TÖREBODA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45350</v>
      </c>
      <c r="E298" s="1" t="n">
        <v>46261</v>
      </c>
      <c r="F298" t="inlineStr">
        <is>
          <t>VÄSTRA GÖTALANDS LÄN</t>
        </is>
      </c>
      <c r="G298" t="inlineStr">
        <is>
          <t>TÖREBODA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45245</v>
      </c>
      <c r="E299" s="1" t="n">
        <v>46261</v>
      </c>
      <c r="F299" t="inlineStr">
        <is>
          <t>VÄSTRA GÖTALANDS LÄN</t>
        </is>
      </c>
      <c r="G299" t="inlineStr">
        <is>
          <t>TÖREBODA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35489-2024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45531</v>
      </c>
      <c r="E300" s="1" t="n">
        <v>46261</v>
      </c>
      <c r="F300" t="inlineStr">
        <is>
          <t>VÄSTRA GÖTALANDS LÄN</t>
        </is>
      </c>
      <c r="G300" t="inlineStr">
        <is>
          <t>TÖREBODA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59438-2022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44907</v>
      </c>
      <c r="E301" s="1" t="n">
        <v>46261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46261</v>
      </c>
      <c r="F302" t="inlineStr">
        <is>
          <t>VÄSTRA GÖTALANDS LÄN</t>
        </is>
      </c>
      <c r="G302" t="inlineStr">
        <is>
          <t>TÖREBODA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46261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45082</v>
      </c>
      <c r="E304" s="1" t="n">
        <v>46261</v>
      </c>
      <c r="F304" t="inlineStr">
        <is>
          <t>VÄSTRA GÖTALANDS LÄN</t>
        </is>
      </c>
      <c r="G304" t="inlineStr">
        <is>
          <t>TÖREBODA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46261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46261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11730-2025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45727</v>
      </c>
      <c r="E307" s="1" t="n">
        <v>46261</v>
      </c>
      <c r="F307" t="inlineStr">
        <is>
          <t>VÄSTRA GÖTALANDS LÄN</t>
        </is>
      </c>
      <c r="G307" t="inlineStr">
        <is>
          <t>TÖREBODA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46261</v>
      </c>
      <c r="F308" t="inlineStr">
        <is>
          <t>VÄSTRA GÖTALANDS LÄN</t>
        </is>
      </c>
      <c r="G308" t="inlineStr">
        <is>
          <t>TÖREBODA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46261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46261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46261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46261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2026-08-27T01:51:40Z</dcterms:created>
  <dcterms:modified xmlns:dcterms="http://purl.org/dc/terms/" xmlns:xsi="http://www.w3.org/2001/XMLSchema-instance" xsi:type="dcterms:W3CDTF">2026-08-27T01:51:40Z</dcterms:modified>
</cp:coreProperties>
</file>