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46265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46265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46265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46265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46265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46265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46265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46265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46265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46265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46265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46265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46265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46265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46265</v>
      </c>
      <c r="F16" t="inlineStr">
        <is>
          <t>VÄSTRA GÖTALANDS LÄN</t>
        </is>
      </c>
      <c r="G16" t="inlineStr">
        <is>
          <t>TÖREBODA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Slåtterfibbla
Mattlummer</t>
        </is>
      </c>
      <c r="W16">
        <f>HYPERLINK("https://klasma.github.io/Logging_1473/artfynd/A 39659-2024 artfynd.xlsx", "A 39659-2024")</f>
        <v/>
      </c>
      <c r="X16">
        <f>HYPERLINK("https://klasma.github.io/Logging_1473/kartor/A 39659-2024 karta.png", "A 39659-2024")</f>
        <v/>
      </c>
      <c r="Y16">
        <f>HYPERLINK("https://klasma.github.io/Logging_1473/kartor_geotiff/A 39659-2024 georefererad karta.tif", "A 39659-2024")</f>
        <v/>
      </c>
      <c r="AA16">
        <f>HYPERLINK("https://klasma.github.io/Logging_1473/klagomål/A 39659-2024 FSC-klagomål.docx", "A 39659-2024")</f>
        <v/>
      </c>
      <c r="AB16">
        <f>HYPERLINK("https://klasma.github.io/Logging_1473/klagomålsmail/A 39659-2024 FSC-klagomål mail.docx", "A 39659-2024")</f>
        <v/>
      </c>
      <c r="AC16">
        <f>HYPERLINK("https://klasma.github.io/Logging_1473/tillsyn/A 39659-2024 tillsynsbegäran.docx", "A 39659-2024")</f>
        <v/>
      </c>
      <c r="AD16">
        <f>HYPERLINK("https://klasma.github.io/Logging_1473/tillsynsmail/A 39659-2024 tillsynsbegäran mail.docx", "A 39659-2024")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46265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46265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12168-2025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45729</v>
      </c>
      <c r="E19" s="1" t="n">
        <v>46265</v>
      </c>
      <c r="F19" t="inlineStr">
        <is>
          <t>VÄSTRA GÖTALANDS LÄN</t>
        </is>
      </c>
      <c r="G19" t="inlineStr">
        <is>
          <t>TÖREBODA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HYPERLINK("https://klasma.github.io/Logging_1473/artfynd/A 12168-2025 artfynd.xlsx", "A 12168-2025")</f>
        <v/>
      </c>
      <c r="X19">
        <f>HYPERLINK("https://klasma.github.io/Logging_1473/kartor/A 12168-2025 karta.png", "A 12168-2025")</f>
        <v/>
      </c>
      <c r="Y19">
        <f>HYPERLINK("https://klasma.github.io/Logging_1473/kartor_geotiff/A 12168-2025 georefererad karta.tif", "A 12168-2025")</f>
        <v/>
      </c>
      <c r="AA19">
        <f>HYPERLINK("https://klasma.github.io/Logging_1473/klagomål/A 12168-2025 FSC-klagomål.docx", "A 12168-2025")</f>
        <v/>
      </c>
      <c r="AB19">
        <f>HYPERLINK("https://klasma.github.io/Logging_1473/klagomålsmail/A 12168-2025 FSC-klagomål mail.docx", "A 12168-2025")</f>
        <v/>
      </c>
      <c r="AC19">
        <f>HYPERLINK("https://klasma.github.io/Logging_1473/tillsyn/A 12168-2025 tillsynsbegäran.docx", "A 12168-2025")</f>
        <v/>
      </c>
      <c r="AD19">
        <f>HYPERLINK("https://klasma.github.io/Logging_1473/tillsynsmail/A 12168-2025 tillsynsbegäran mail.docx", "A 12168-2025")</f>
        <v/>
      </c>
      <c r="AE19">
        <f>HYPERLINK("https://klasma.github.io/Logging_1473/fåglar/A 12168-2025 prioriterade fågelarter.docx", "A 12168-2025")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46265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46265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46265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46265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14755-2025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46265</v>
      </c>
      <c r="F24" t="inlineStr">
        <is>
          <t>VÄSTRA GÖTALANDS LÄN</t>
        </is>
      </c>
      <c r="G24" t="inlineStr">
        <is>
          <t>TÖREBODA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Mattlummer</t>
        </is>
      </c>
      <c r="W24">
        <f>HYPERLINK("https://klasma.github.io/Logging_1473/artfynd/A 14755-2025 artfynd.xlsx", "A 14755-2025")</f>
        <v/>
      </c>
      <c r="X24">
        <f>HYPERLINK("https://klasma.github.io/Logging_1473/kartor/A 14755-2025 karta.png", "A 14755-2025")</f>
        <v/>
      </c>
      <c r="Y24">
        <f>HYPERLINK("https://klasma.github.io/Logging_1473/kartor_geotiff/A 14755-2025 georefererad karta.tif", "A 14755-2025")</f>
        <v/>
      </c>
      <c r="AA24">
        <f>HYPERLINK("https://klasma.github.io/Logging_1473/klagomål/A 14755-2025 FSC-klagomål.docx", "A 14755-2025")</f>
        <v/>
      </c>
      <c r="AB24">
        <f>HYPERLINK("https://klasma.github.io/Logging_1473/klagomålsmail/A 14755-2025 FSC-klagomål mail.docx", "A 14755-2025")</f>
        <v/>
      </c>
      <c r="AC24">
        <f>HYPERLINK("https://klasma.github.io/Logging_1473/tillsyn/A 14755-2025 tillsynsbegäran.docx", "A 14755-2025")</f>
        <v/>
      </c>
      <c r="AD24">
        <f>HYPERLINK("https://klasma.github.io/Logging_1473/tillsynsmail/A 14755-2025 tillsynsbegäran mail.docx", "A 14755-2025")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46265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46265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58097-2024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46265</v>
      </c>
      <c r="F27" t="inlineStr">
        <is>
          <t>VÄSTRA GÖTALANDS LÄN</t>
        </is>
      </c>
      <c r="G27" t="inlineStr">
        <is>
          <t>TÖREBODA</t>
        </is>
      </c>
      <c r="I27" t="n">
        <v>8.6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Vattenfladdermus</t>
        </is>
      </c>
      <c r="W27">
        <f>HYPERLINK("https://klasma.github.io/Logging_1473/artfynd/A 58097-2024 artfynd.xlsx", "A 58097-2024")</f>
        <v/>
      </c>
      <c r="X27">
        <f>HYPERLINK("https://klasma.github.io/Logging_1473/kartor/A 58097-2024 karta.png", "A 58097-2024")</f>
        <v/>
      </c>
      <c r="Y27">
        <f>HYPERLINK("https://klasma.github.io/Logging_1473/kartor_geotiff/A 58097-2024 georefererad karta.tif", "A 58097-2024")</f>
        <v/>
      </c>
      <c r="AA27">
        <f>HYPERLINK("https://klasma.github.io/Logging_1473/klagomål/A 58097-2024 FSC-klagomål.docx", "A 58097-2024")</f>
        <v/>
      </c>
      <c r="AB27">
        <f>HYPERLINK("https://klasma.github.io/Logging_1473/klagomålsmail/A 58097-2024 FSC-klagomål mail.docx", "A 58097-2024")</f>
        <v/>
      </c>
      <c r="AC27">
        <f>HYPERLINK("https://klasma.github.io/Logging_1473/tillsyn/A 58097-2024 tillsynsbegäran.docx", "A 58097-2024")</f>
        <v/>
      </c>
      <c r="AD27">
        <f>HYPERLINK("https://klasma.github.io/Logging_1473/tillsynsmail/A 58097-2024 tillsynsbegäran mail.docx", "A 58097-2024")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46265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HYPERLINK("https://klasma.github.io/Logging_1473/artfynd/A 55174-2024 artfynd.xlsx", "A 55174-2024")</f>
        <v/>
      </c>
      <c r="X28">
        <f>HYPERLINK("https://klasma.github.io/Logging_1473/kartor/A 55174-2024 karta.png", "A 55174-2024")</f>
        <v/>
      </c>
      <c r="Y28">
        <f>HYPERLINK("https://klasma.github.io/Logging_1473/kartor_geotiff/A 55174-2024 georefererad karta.tif", "A 55174-2024")</f>
        <v/>
      </c>
      <c r="AA28">
        <f>HYPERLINK("https://klasma.github.io/Logging_1473/klagomål/A 55174-2024 FSC-klagomål.docx", "A 55174-2024")</f>
        <v/>
      </c>
      <c r="AB28">
        <f>HYPERLINK("https://klasma.github.io/Logging_1473/klagomålsmail/A 55174-2024 FSC-klagomål mail.docx", "A 55174-2024")</f>
        <v/>
      </c>
      <c r="AC28">
        <f>HYPERLINK("https://klasma.github.io/Logging_1473/tillsyn/A 55174-2024 tillsynsbegäran.docx", "A 55174-2024")</f>
        <v/>
      </c>
      <c r="AD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46265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46265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46265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46265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46265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46265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46265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46265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46265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46265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46265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46265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46265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46265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46265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46265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46265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46265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46265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46265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46265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46265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46265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46265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46265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46265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46265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46265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46265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46265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46265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46265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46265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46265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46265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46265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46265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46265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11683-2024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45373</v>
      </c>
      <c r="E67" s="1" t="n">
        <v>46265</v>
      </c>
      <c r="F67" t="inlineStr">
        <is>
          <t>VÄSTRA GÖTALANDS LÄN</t>
        </is>
      </c>
      <c r="G67" t="inlineStr">
        <is>
          <t>TÖREBODA</t>
        </is>
      </c>
      <c r="I67" t="n">
        <v>23.8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46265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45954</v>
      </c>
      <c r="E69" s="1" t="n">
        <v>46265</v>
      </c>
      <c r="F69" t="inlineStr">
        <is>
          <t>VÄSTRA GÖTALANDS LÄN</t>
        </is>
      </c>
      <c r="G69" t="inlineStr">
        <is>
          <t>TÖREBODA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45954</v>
      </c>
      <c r="E70" s="1" t="n">
        <v>46265</v>
      </c>
      <c r="F70" t="inlineStr">
        <is>
          <t>VÄSTRA GÖTALANDS LÄN</t>
        </is>
      </c>
      <c r="G70" t="inlineStr">
        <is>
          <t>TÖREBODA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46265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Sveaskog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45460</v>
      </c>
      <c r="E72" s="1" t="n">
        <v>46265</v>
      </c>
      <c r="F72" t="inlineStr">
        <is>
          <t>VÄSTRA GÖTALANDS LÄN</t>
        </is>
      </c>
      <c r="G72" t="inlineStr">
        <is>
          <t>TÖREBODA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11730-2025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45727</v>
      </c>
      <c r="E73" s="1" t="n">
        <v>46265</v>
      </c>
      <c r="F73" t="inlineStr">
        <is>
          <t>VÄSTRA GÖTALANDS LÄN</t>
        </is>
      </c>
      <c r="G73" t="inlineStr">
        <is>
          <t>TÖREBODA</t>
        </is>
      </c>
      <c r="I73" t="n">
        <v>11.2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46265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46265</v>
      </c>
      <c r="F75" t="inlineStr">
        <is>
          <t>VÄSTRA GÖTALANDS LÄN</t>
        </is>
      </c>
      <c r="G75" t="inlineStr">
        <is>
          <t>TÖREBODA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46265</v>
      </c>
      <c r="F76" t="inlineStr">
        <is>
          <t>VÄSTRA GÖTALANDS LÄN</t>
        </is>
      </c>
      <c r="G76" t="inlineStr">
        <is>
          <t>TÖREBODA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45961</v>
      </c>
      <c r="E77" s="1" t="n">
        <v>46265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10185-2023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46265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45457</v>
      </c>
      <c r="E79" s="1" t="n">
        <v>46265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Övriga statliga verk och myndigheter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46265</v>
      </c>
      <c r="F80" t="inlineStr">
        <is>
          <t>VÄSTRA GÖTALANDS LÄN</t>
        </is>
      </c>
      <c r="G80" t="inlineStr">
        <is>
          <t>TÖREBODA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45885</v>
      </c>
      <c r="E81" s="1" t="n">
        <v>46265</v>
      </c>
      <c r="F81" t="inlineStr">
        <is>
          <t>VÄSTRA GÖTALANDS LÄN</t>
        </is>
      </c>
      <c r="G81" t="inlineStr">
        <is>
          <t>TÖREBODA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45885</v>
      </c>
      <c r="E82" s="1" t="n">
        <v>46265</v>
      </c>
      <c r="F82" t="inlineStr">
        <is>
          <t>VÄSTRA GÖTALANDS LÄN</t>
        </is>
      </c>
      <c r="G82" t="inlineStr">
        <is>
          <t>TÖREBODA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51040-2022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46265</v>
      </c>
      <c r="F83" t="inlineStr">
        <is>
          <t>VÄSTRA GÖTALANDS LÄN</t>
        </is>
      </c>
      <c r="G83" t="inlineStr">
        <is>
          <t>TÖREBODA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46265</v>
      </c>
      <c r="F84" t="inlineStr">
        <is>
          <t>VÄSTRA GÖTALANDS LÄN</t>
        </is>
      </c>
      <c r="G84" t="inlineStr">
        <is>
          <t>TÖREBODA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46265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46265</v>
      </c>
      <c r="F86" t="inlineStr">
        <is>
          <t>VÄSTRA GÖTALANDS LÄN</t>
        </is>
      </c>
      <c r="G86" t="inlineStr">
        <is>
          <t>TÖREBODA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45531</v>
      </c>
      <c r="E87" s="1" t="n">
        <v>46265</v>
      </c>
      <c r="F87" t="inlineStr">
        <is>
          <t>VÄSTRA GÖTALANDS LÄN</t>
        </is>
      </c>
      <c r="G87" t="inlineStr">
        <is>
          <t>TÖREBODA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45972</v>
      </c>
      <c r="E88" s="1" t="n">
        <v>46265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Sveaskog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55593-2025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45971</v>
      </c>
      <c r="E89" s="1" t="n">
        <v>46265</v>
      </c>
      <c r="F89" t="inlineStr">
        <is>
          <t>VÄSTRA GÖTALANDS LÄN</t>
        </is>
      </c>
      <c r="G89" t="inlineStr">
        <is>
          <t>TÖREBODA</t>
        </is>
      </c>
      <c r="I89" t="n">
        <v>20.8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46265</v>
      </c>
      <c r="F90" t="inlineStr">
        <is>
          <t>VÄSTRA GÖTALANDS LÄN</t>
        </is>
      </c>
      <c r="G90" t="inlineStr">
        <is>
          <t>TÖREBODA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45972</v>
      </c>
      <c r="E91" s="1" t="n">
        <v>46265</v>
      </c>
      <c r="F91" t="inlineStr">
        <is>
          <t>VÄSTRA GÖTALANDS LÄN</t>
        </is>
      </c>
      <c r="G91" t="inlineStr">
        <is>
          <t>TÖREBODA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46265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46265</v>
      </c>
      <c r="F93" t="inlineStr">
        <is>
          <t>VÄSTRA GÖTALANDS LÄN</t>
        </is>
      </c>
      <c r="G93" t="inlineStr">
        <is>
          <t>TÖREBODA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46265</v>
      </c>
      <c r="F94" t="inlineStr">
        <is>
          <t>VÄSTRA GÖTALANDS LÄN</t>
        </is>
      </c>
      <c r="G94" t="inlineStr">
        <is>
          <t>TÖREBODA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45972</v>
      </c>
      <c r="E95" s="1" t="n">
        <v>46265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55766-2025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45972</v>
      </c>
      <c r="E96" s="1" t="n">
        <v>46265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46265</v>
      </c>
      <c r="F97" t="inlineStr">
        <is>
          <t>VÄSTRA GÖTALANDS LÄN</t>
        </is>
      </c>
      <c r="G97" t="inlineStr">
        <is>
          <t>TÖREBODA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45972</v>
      </c>
      <c r="E98" s="1" t="n">
        <v>46265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45341</v>
      </c>
      <c r="E99" s="1" t="n">
        <v>46265</v>
      </c>
      <c r="F99" t="inlineStr">
        <is>
          <t>VÄSTRA GÖTALANDS LÄN</t>
        </is>
      </c>
      <c r="G99" t="inlineStr">
        <is>
          <t>TÖREBODA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46265</v>
      </c>
      <c r="F100" t="inlineStr">
        <is>
          <t>VÄSTRA GÖTALANDS LÄN</t>
        </is>
      </c>
      <c r="G100" t="inlineStr">
        <is>
          <t>TÖREBODA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45593</v>
      </c>
      <c r="E101" s="1" t="n">
        <v>46265</v>
      </c>
      <c r="F101" t="inlineStr">
        <is>
          <t>VÄSTRA GÖTALANDS LÄN</t>
        </is>
      </c>
      <c r="G101" t="inlineStr">
        <is>
          <t>TÖREBODA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46265</v>
      </c>
      <c r="F102" t="inlineStr">
        <is>
          <t>VÄSTRA GÖTALANDS LÄN</t>
        </is>
      </c>
      <c r="G102" t="inlineStr">
        <is>
          <t>TÖREBODA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45394</v>
      </c>
      <c r="E103" s="1" t="n">
        <v>46265</v>
      </c>
      <c r="F103" t="inlineStr">
        <is>
          <t>VÄSTRA GÖTALANDS LÄN</t>
        </is>
      </c>
      <c r="G103" t="inlineStr">
        <is>
          <t>TÖREBODA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46265</v>
      </c>
      <c r="F104" t="inlineStr">
        <is>
          <t>VÄSTRA GÖTALANDS LÄN</t>
        </is>
      </c>
      <c r="G104" t="inlineStr">
        <is>
          <t>TÖREBODA</t>
        </is>
      </c>
      <c r="H104" t="inlineStr">
        <is>
          <t>Kyrkan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46265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45493</v>
      </c>
      <c r="E106" s="1" t="n">
        <v>46265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46265</v>
      </c>
      <c r="F107" t="inlineStr">
        <is>
          <t>VÄSTRA GÖTALANDS LÄN</t>
        </is>
      </c>
      <c r="G107" t="inlineStr">
        <is>
          <t>TÖREBODA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46265</v>
      </c>
      <c r="F108" t="inlineStr">
        <is>
          <t>VÄSTRA GÖTALANDS LÄN</t>
        </is>
      </c>
      <c r="G108" t="inlineStr">
        <is>
          <t>TÖREBODA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46265</v>
      </c>
      <c r="F109" t="inlineStr">
        <is>
          <t>VÄSTRA GÖTALANDS LÄN</t>
        </is>
      </c>
      <c r="G109" t="inlineStr">
        <is>
          <t>TÖREBODA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46265</v>
      </c>
      <c r="F110" t="inlineStr">
        <is>
          <t>VÄSTRA GÖTALANDS LÄN</t>
        </is>
      </c>
      <c r="G110" t="inlineStr">
        <is>
          <t>TÖREBODA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46265</v>
      </c>
      <c r="F111" t="inlineStr">
        <is>
          <t>VÄSTRA GÖTALANDS LÄN</t>
        </is>
      </c>
      <c r="G111" t="inlineStr">
        <is>
          <t>TÖREBODA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46265</v>
      </c>
      <c r="F112" t="inlineStr">
        <is>
          <t>VÄSTRA GÖTALANDS LÄN</t>
        </is>
      </c>
      <c r="G112" t="inlineStr">
        <is>
          <t>TÖREBODA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46265</v>
      </c>
      <c r="F113" t="inlineStr">
        <is>
          <t>VÄSTRA GÖTALANDS LÄN</t>
        </is>
      </c>
      <c r="G113" t="inlineStr">
        <is>
          <t>TÖREBODA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46265</v>
      </c>
      <c r="F114" t="inlineStr">
        <is>
          <t>VÄSTRA GÖTALANDS LÄN</t>
        </is>
      </c>
      <c r="G114" t="inlineStr">
        <is>
          <t>TÖREBODA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46265</v>
      </c>
      <c r="F115" t="inlineStr">
        <is>
          <t>VÄSTRA GÖTALANDS LÄN</t>
        </is>
      </c>
      <c r="G115" t="inlineStr">
        <is>
          <t>TÖREBODA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44907</v>
      </c>
      <c r="E116" s="1" t="n">
        <v>46265</v>
      </c>
      <c r="F116" t="inlineStr">
        <is>
          <t>VÄSTRA GÖTALANDS LÄN</t>
        </is>
      </c>
      <c r="G116" t="inlineStr">
        <is>
          <t>TÖREBODA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46265</v>
      </c>
      <c r="F117" t="inlineStr">
        <is>
          <t>VÄSTRA GÖTALANDS LÄN</t>
        </is>
      </c>
      <c r="G117" t="inlineStr">
        <is>
          <t>TÖREBODA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46265</v>
      </c>
      <c r="F118" t="inlineStr">
        <is>
          <t>VÄSTRA GÖTALANDS LÄN</t>
        </is>
      </c>
      <c r="G118" t="inlineStr">
        <is>
          <t>TÖREBODA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46265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44988</v>
      </c>
      <c r="E120" s="1" t="n">
        <v>46265</v>
      </c>
      <c r="F120" t="inlineStr">
        <is>
          <t>VÄSTRA GÖTALANDS LÄN</t>
        </is>
      </c>
      <c r="G120" t="inlineStr">
        <is>
          <t>TÖREBODA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46265</v>
      </c>
      <c r="F121" t="inlineStr">
        <is>
          <t>VÄSTRA GÖTALANDS LÄN</t>
        </is>
      </c>
      <c r="G121" t="inlineStr">
        <is>
          <t>TÖREBODA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46265</v>
      </c>
      <c r="F122" t="inlineStr">
        <is>
          <t>VÄSTRA GÖTALANDS LÄN</t>
        </is>
      </c>
      <c r="G122" t="inlineStr">
        <is>
          <t>TÖREBODA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46265</v>
      </c>
      <c r="F123" t="inlineStr">
        <is>
          <t>VÄSTRA GÖTALANDS LÄN</t>
        </is>
      </c>
      <c r="G123" t="inlineStr">
        <is>
          <t>TÖREBODA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26941-2025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45811</v>
      </c>
      <c r="E124" s="1" t="n">
        <v>46265</v>
      </c>
      <c r="F124" t="inlineStr">
        <is>
          <t>VÄSTRA GÖTALANDS LÄN</t>
        </is>
      </c>
      <c r="G124" t="inlineStr">
        <is>
          <t>TÖREBODA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46265</v>
      </c>
      <c r="F125" t="inlineStr">
        <is>
          <t>VÄSTRA GÖTALANDS LÄN</t>
        </is>
      </c>
      <c r="G125" t="inlineStr">
        <is>
          <t>TÖREBODA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46265</v>
      </c>
      <c r="F126" t="inlineStr">
        <is>
          <t>VÄSTRA GÖTALANDS LÄN</t>
        </is>
      </c>
      <c r="G126" t="inlineStr">
        <is>
          <t>TÖREBODA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46265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Sveaskog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46265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45127</v>
      </c>
      <c r="E129" s="1" t="n">
        <v>46265</v>
      </c>
      <c r="F129" t="inlineStr">
        <is>
          <t>VÄSTRA GÖTALANDS LÄN</t>
        </is>
      </c>
      <c r="G129" t="inlineStr">
        <is>
          <t>TÖREBODA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46265</v>
      </c>
      <c r="F130" t="inlineStr">
        <is>
          <t>VÄSTRA GÖTALANDS LÄN</t>
        </is>
      </c>
      <c r="G130" t="inlineStr">
        <is>
          <t>TÖREBODA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46265</v>
      </c>
      <c r="F131" t="inlineStr">
        <is>
          <t>VÄSTRA GÖTALANDS LÄN</t>
        </is>
      </c>
      <c r="G131" t="inlineStr">
        <is>
          <t>TÖREBODA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46265</v>
      </c>
      <c r="F132" t="inlineStr">
        <is>
          <t>VÄSTRA GÖTALANDS LÄN</t>
        </is>
      </c>
      <c r="G132" t="inlineStr">
        <is>
          <t>TÖREBODA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45569</v>
      </c>
      <c r="E133" s="1" t="n">
        <v>46265</v>
      </c>
      <c r="F133" t="inlineStr">
        <is>
          <t>VÄSTRA GÖTALANDS LÄN</t>
        </is>
      </c>
      <c r="G133" t="inlineStr">
        <is>
          <t>TÖREBODA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46265</v>
      </c>
      <c r="F134" t="inlineStr">
        <is>
          <t>VÄSTRA GÖTALANDS LÄN</t>
        </is>
      </c>
      <c r="G134" t="inlineStr">
        <is>
          <t>TÖREBODA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45399</v>
      </c>
      <c r="E135" s="1" t="n">
        <v>46265</v>
      </c>
      <c r="F135" t="inlineStr">
        <is>
          <t>VÄSTRA GÖTALANDS LÄN</t>
        </is>
      </c>
      <c r="G135" t="inlineStr">
        <is>
          <t>TÖREBODA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46265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46265</v>
      </c>
      <c r="F137" t="inlineStr">
        <is>
          <t>VÄSTRA GÖTALANDS LÄN</t>
        </is>
      </c>
      <c r="G137" t="inlineStr">
        <is>
          <t>TÖREBODA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46265</v>
      </c>
      <c r="F138" t="inlineStr">
        <is>
          <t>VÄSTRA GÖTALANDS LÄN</t>
        </is>
      </c>
      <c r="G138" t="inlineStr">
        <is>
          <t>TÖREBODA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46265</v>
      </c>
      <c r="F139" t="inlineStr">
        <is>
          <t>VÄSTRA GÖTALANDS LÄN</t>
        </is>
      </c>
      <c r="G139" t="inlineStr">
        <is>
          <t>TÖREBODA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44923</v>
      </c>
      <c r="E140" s="1" t="n">
        <v>46265</v>
      </c>
      <c r="F140" t="inlineStr">
        <is>
          <t>VÄSTRA GÖTALANDS LÄN</t>
        </is>
      </c>
      <c r="G140" t="inlineStr">
        <is>
          <t>TÖREBODA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46265</v>
      </c>
      <c r="F141" t="inlineStr">
        <is>
          <t>VÄSTRA GÖTALANDS LÄN</t>
        </is>
      </c>
      <c r="G141" t="inlineStr">
        <is>
          <t>TÖREBODA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46265</v>
      </c>
      <c r="F142" t="inlineStr">
        <is>
          <t>VÄSTRA GÖTALANDS LÄN</t>
        </is>
      </c>
      <c r="G142" t="inlineStr">
        <is>
          <t>TÖREBODA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46265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Övriga statliga verk och myndigheter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46265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46265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Övriga statliga verk och myndigheter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46265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46265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Övriga statliga verk och myndigheter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46265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46265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46265</v>
      </c>
      <c r="F150" t="inlineStr">
        <is>
          <t>VÄSTRA GÖTALANDS LÄN</t>
        </is>
      </c>
      <c r="G150" t="inlineStr">
        <is>
          <t>TÖREBODA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45764</v>
      </c>
      <c r="E151" s="1" t="n">
        <v>46265</v>
      </c>
      <c r="F151" t="inlineStr">
        <is>
          <t>VÄSTRA GÖTALANDS LÄN</t>
        </is>
      </c>
      <c r="G151" t="inlineStr">
        <is>
          <t>TÖREBODA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46265</v>
      </c>
      <c r="F152" t="inlineStr">
        <is>
          <t>VÄSTRA GÖTALANDS LÄN</t>
        </is>
      </c>
      <c r="G152" t="inlineStr">
        <is>
          <t>TÖREBODA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46265</v>
      </c>
      <c r="F153" t="inlineStr">
        <is>
          <t>VÄSTRA GÖTALANDS LÄN</t>
        </is>
      </c>
      <c r="G153" t="inlineStr">
        <is>
          <t>TÖREBODA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46265</v>
      </c>
      <c r="F154" t="inlineStr">
        <is>
          <t>VÄSTRA GÖTALANDS LÄN</t>
        </is>
      </c>
      <c r="G154" t="inlineStr">
        <is>
          <t>TÖREBODA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46265</v>
      </c>
      <c r="F155" t="inlineStr">
        <is>
          <t>VÄSTRA GÖTALANDS LÄN</t>
        </is>
      </c>
      <c r="G155" t="inlineStr">
        <is>
          <t>TÖREBODA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46265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46265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Aktiebolag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46265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46265</v>
      </c>
      <c r="F159" t="inlineStr">
        <is>
          <t>VÄSTRA GÖTALANDS LÄN</t>
        </is>
      </c>
      <c r="G159" t="inlineStr">
        <is>
          <t>TÖREBODA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44987</v>
      </c>
      <c r="E160" s="1" t="n">
        <v>46265</v>
      </c>
      <c r="F160" t="inlineStr">
        <is>
          <t>VÄSTRA GÖTALANDS LÄN</t>
        </is>
      </c>
      <c r="G160" t="inlineStr">
        <is>
          <t>TÖREBODA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46265</v>
      </c>
      <c r="F161" t="inlineStr">
        <is>
          <t>VÄSTRA GÖTALANDS LÄN</t>
        </is>
      </c>
      <c r="G161" t="inlineStr">
        <is>
          <t>TÖREBODA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46265</v>
      </c>
      <c r="F162" t="inlineStr">
        <is>
          <t>VÄSTRA GÖTALANDS LÄN</t>
        </is>
      </c>
      <c r="G162" t="inlineStr">
        <is>
          <t>TÖREBODA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46265</v>
      </c>
      <c r="F163" t="inlineStr">
        <is>
          <t>VÄSTRA GÖTALANDS LÄN</t>
        </is>
      </c>
      <c r="G163" t="inlineStr">
        <is>
          <t>TÖREBODA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6442-2025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45699</v>
      </c>
      <c r="E164" s="1" t="n">
        <v>46265</v>
      </c>
      <c r="F164" t="inlineStr">
        <is>
          <t>VÄSTRA GÖTALANDS LÄN</t>
        </is>
      </c>
      <c r="G164" t="inlineStr">
        <is>
          <t>TÖREBODA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46265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46265</v>
      </c>
      <c r="F166" t="inlineStr">
        <is>
          <t>VÄSTRA GÖTALANDS LÄN</t>
        </is>
      </c>
      <c r="G166" t="inlineStr">
        <is>
          <t>TÖREBODA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44756</v>
      </c>
      <c r="E167" s="1" t="n">
        <v>46265</v>
      </c>
      <c r="F167" t="inlineStr">
        <is>
          <t>VÄSTRA GÖTALANDS LÄN</t>
        </is>
      </c>
      <c r="G167" t="inlineStr">
        <is>
          <t>TÖREBODA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62980-2025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46009</v>
      </c>
      <c r="E168" s="1" t="n">
        <v>46265</v>
      </c>
      <c r="F168" t="inlineStr">
        <is>
          <t>VÄSTRA GÖTALANDS LÄN</t>
        </is>
      </c>
      <c r="G168" t="inlineStr">
        <is>
          <t>TÖREBODA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46265</v>
      </c>
      <c r="F169" t="inlineStr">
        <is>
          <t>VÄSTRA GÖTALANDS LÄN</t>
        </is>
      </c>
      <c r="G169" t="inlineStr">
        <is>
          <t>TÖREBODA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46265</v>
      </c>
      <c r="F170" t="inlineStr">
        <is>
          <t>VÄSTRA GÖTALANDS LÄN</t>
        </is>
      </c>
      <c r="G170" t="inlineStr">
        <is>
          <t>TÖREBODA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46265</v>
      </c>
      <c r="F171" t="inlineStr">
        <is>
          <t>VÄSTRA GÖTALANDS LÄN</t>
        </is>
      </c>
      <c r="G171" t="inlineStr">
        <is>
          <t>TÖREBODA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46265</v>
      </c>
      <c r="F172" t="inlineStr">
        <is>
          <t>VÄSTRA GÖTALANDS LÄN</t>
        </is>
      </c>
      <c r="G172" t="inlineStr">
        <is>
          <t>TÖREBODA</t>
        </is>
      </c>
      <c r="I172" t="n">
        <v>49.4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46265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45754</v>
      </c>
      <c r="E174" s="1" t="n">
        <v>46265</v>
      </c>
      <c r="F174" t="inlineStr">
        <is>
          <t>VÄSTRA GÖTALANDS LÄN</t>
        </is>
      </c>
      <c r="G174" t="inlineStr">
        <is>
          <t>TÖREBODA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46265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46265</v>
      </c>
      <c r="F176" t="inlineStr">
        <is>
          <t>VÄSTRA GÖTALANDS LÄN</t>
        </is>
      </c>
      <c r="G176" t="inlineStr">
        <is>
          <t>TÖREBODA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44890</v>
      </c>
      <c r="E177" s="1" t="n">
        <v>46265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Övriga statliga verk och myndigheter</t>
        </is>
      </c>
      <c r="I177" t="n">
        <v>12.6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45215</v>
      </c>
      <c r="E178" s="1" t="n">
        <v>46265</v>
      </c>
      <c r="F178" t="inlineStr">
        <is>
          <t>VÄSTRA GÖTALANDS LÄN</t>
        </is>
      </c>
      <c r="G178" t="inlineStr">
        <is>
          <t>TÖREBODA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46265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46265</v>
      </c>
      <c r="F180" t="inlineStr">
        <is>
          <t>VÄSTRA GÖTALANDS LÄN</t>
        </is>
      </c>
      <c r="G180" t="inlineStr">
        <is>
          <t>TÖREBODA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45384</v>
      </c>
      <c r="E181" s="1" t="n">
        <v>46265</v>
      </c>
      <c r="F181" t="inlineStr">
        <is>
          <t>VÄSTRA GÖTALANDS LÄN</t>
        </is>
      </c>
      <c r="G181" t="inlineStr">
        <is>
          <t>TÖREBODA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46057</v>
      </c>
      <c r="E182" s="1" t="n">
        <v>46265</v>
      </c>
      <c r="F182" t="inlineStr">
        <is>
          <t>VÄSTRA GÖTALANDS LÄN</t>
        </is>
      </c>
      <c r="G182" t="inlineStr">
        <is>
          <t>TÖREBODA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46265</v>
      </c>
      <c r="F183" t="inlineStr">
        <is>
          <t>VÄSTRA GÖTALANDS LÄN</t>
        </is>
      </c>
      <c r="G183" t="inlineStr">
        <is>
          <t>TÖREBODA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46265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45309</v>
      </c>
      <c r="E185" s="1" t="n">
        <v>46265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46265</v>
      </c>
      <c r="F186" t="inlineStr">
        <is>
          <t>VÄSTRA GÖTALANDS LÄN</t>
        </is>
      </c>
      <c r="G186" t="inlineStr">
        <is>
          <t>TÖREBODA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46265</v>
      </c>
      <c r="F187" t="inlineStr">
        <is>
          <t>VÄSTRA GÖTALANDS LÄN</t>
        </is>
      </c>
      <c r="G187" t="inlineStr">
        <is>
          <t>TÖREBODA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46265</v>
      </c>
      <c r="F188" t="inlineStr">
        <is>
          <t>VÄSTRA GÖTALANDS LÄN</t>
        </is>
      </c>
      <c r="G188" t="inlineStr">
        <is>
          <t>TÖREBODA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46265</v>
      </c>
      <c r="F189" t="inlineStr">
        <is>
          <t>VÄSTRA GÖTALANDS LÄN</t>
        </is>
      </c>
      <c r="G189" t="inlineStr">
        <is>
          <t>TÖREBODA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46265</v>
      </c>
      <c r="F190" t="inlineStr">
        <is>
          <t>VÄSTRA GÖTALANDS LÄN</t>
        </is>
      </c>
      <c r="G190" t="inlineStr">
        <is>
          <t>TÖREBODA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45556</v>
      </c>
      <c r="E191" s="1" t="n">
        <v>46265</v>
      </c>
      <c r="F191" t="inlineStr">
        <is>
          <t>VÄSTRA GÖTALANDS LÄN</t>
        </is>
      </c>
      <c r="G191" t="inlineStr">
        <is>
          <t>TÖREBODA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45096</v>
      </c>
      <c r="E192" s="1" t="n">
        <v>46265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46265</v>
      </c>
      <c r="F193" t="inlineStr">
        <is>
          <t>VÄSTRA GÖTALANDS LÄN</t>
        </is>
      </c>
      <c r="G193" t="inlineStr">
        <is>
          <t>TÖREBODA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46265</v>
      </c>
      <c r="F194" t="inlineStr">
        <is>
          <t>VÄSTRA GÖTALANDS LÄN</t>
        </is>
      </c>
      <c r="G194" t="inlineStr">
        <is>
          <t>TÖREBODA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46265</v>
      </c>
      <c r="F195" t="inlineStr">
        <is>
          <t>VÄSTRA GÖTALANDS LÄN</t>
        </is>
      </c>
      <c r="G195" t="inlineStr">
        <is>
          <t>TÖREBODA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46265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45552</v>
      </c>
      <c r="E197" s="1" t="n">
        <v>46265</v>
      </c>
      <c r="F197" t="inlineStr">
        <is>
          <t>VÄSTRA GÖTALANDS LÄN</t>
        </is>
      </c>
      <c r="G197" t="inlineStr">
        <is>
          <t>TÖREBODA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45627</v>
      </c>
      <c r="E198" s="1" t="n">
        <v>46265</v>
      </c>
      <c r="F198" t="inlineStr">
        <is>
          <t>VÄSTRA GÖTALANDS LÄN</t>
        </is>
      </c>
      <c r="G198" t="inlineStr">
        <is>
          <t>TÖREBODA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45555</v>
      </c>
      <c r="E199" s="1" t="n">
        <v>46265</v>
      </c>
      <c r="F199" t="inlineStr">
        <is>
          <t>VÄSTRA GÖTALANDS LÄN</t>
        </is>
      </c>
      <c r="G199" t="inlineStr">
        <is>
          <t>TÖREBODA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46265</v>
      </c>
      <c r="F200" t="inlineStr">
        <is>
          <t>VÄSTRA GÖTALANDS LÄN</t>
        </is>
      </c>
      <c r="G200" t="inlineStr">
        <is>
          <t>TÖREBODA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44664</v>
      </c>
      <c r="E201" s="1" t="n">
        <v>46265</v>
      </c>
      <c r="F201" t="inlineStr">
        <is>
          <t>VÄSTRA GÖTALANDS LÄN</t>
        </is>
      </c>
      <c r="G201" t="inlineStr">
        <is>
          <t>TÖREBODA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46265</v>
      </c>
      <c r="F202" t="inlineStr">
        <is>
          <t>VÄSTRA GÖTALANDS LÄN</t>
        </is>
      </c>
      <c r="G202" t="inlineStr">
        <is>
          <t>TÖREBODA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45328</v>
      </c>
      <c r="E203" s="1" t="n">
        <v>46265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46265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Aktiebolag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46265</v>
      </c>
      <c r="F205" t="inlineStr">
        <is>
          <t>VÄSTRA GÖTALANDS LÄN</t>
        </is>
      </c>
      <c r="G205" t="inlineStr">
        <is>
          <t>TÖREBODA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15567-2026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46106</v>
      </c>
      <c r="E206" s="1" t="n">
        <v>46265</v>
      </c>
      <c r="F206" t="inlineStr">
        <is>
          <t>VÄSTRA GÖTALANDS LÄN</t>
        </is>
      </c>
      <c r="G206" t="inlineStr">
        <is>
          <t>TÖREBODA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46265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46265</v>
      </c>
      <c r="F208" t="inlineStr">
        <is>
          <t>VÄSTRA GÖTALANDS LÄN</t>
        </is>
      </c>
      <c r="G208" t="inlineStr">
        <is>
          <t>TÖREBODA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46265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54734-2023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46265</v>
      </c>
      <c r="F210" t="inlineStr">
        <is>
          <t>VÄSTRA GÖTALANDS LÄN</t>
        </is>
      </c>
      <c r="G210" t="inlineStr">
        <is>
          <t>TÖREBODA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46265</v>
      </c>
      <c r="F211" t="inlineStr">
        <is>
          <t>VÄSTRA GÖTALANDS LÄN</t>
        </is>
      </c>
      <c r="G211" t="inlineStr">
        <is>
          <t>TÖREBODA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46265</v>
      </c>
      <c r="F212" t="inlineStr">
        <is>
          <t>VÄSTRA GÖTALANDS LÄN</t>
        </is>
      </c>
      <c r="G212" t="inlineStr">
        <is>
          <t>TÖREBODA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46265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46265</v>
      </c>
      <c r="F214" t="inlineStr">
        <is>
          <t>VÄSTRA GÖTALANDS LÄN</t>
        </is>
      </c>
      <c r="G214" t="inlineStr">
        <is>
          <t>TÖREBODA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55285-2023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46265</v>
      </c>
      <c r="F215" t="inlineStr">
        <is>
          <t>VÄSTRA GÖTALANDS LÄN</t>
        </is>
      </c>
      <c r="G215" t="inlineStr">
        <is>
          <t>TÖREBODA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46134</v>
      </c>
      <c r="E216" s="1" t="n">
        <v>46265</v>
      </c>
      <c r="F216" t="inlineStr">
        <is>
          <t>VÄSTRA GÖTALANDS LÄN</t>
        </is>
      </c>
      <c r="G216" t="inlineStr">
        <is>
          <t>TÖREBODA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46265</v>
      </c>
      <c r="F217" t="inlineStr">
        <is>
          <t>VÄSTRA GÖTALANDS LÄN</t>
        </is>
      </c>
      <c r="G217" t="inlineStr">
        <is>
          <t>TÖREBODA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46265</v>
      </c>
      <c r="F218" t="inlineStr">
        <is>
          <t>VÄSTRA GÖTALANDS LÄN</t>
        </is>
      </c>
      <c r="G218" t="inlineStr">
        <is>
          <t>TÖREBODA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19706-2026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46134</v>
      </c>
      <c r="E219" s="1" t="n">
        <v>46265</v>
      </c>
      <c r="F219" t="inlineStr">
        <is>
          <t>VÄSTRA GÖTALANDS LÄN</t>
        </is>
      </c>
      <c r="G219" t="inlineStr">
        <is>
          <t>TÖREBODA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45750</v>
      </c>
      <c r="E220" s="1" t="n">
        <v>46265</v>
      </c>
      <c r="F220" t="inlineStr">
        <is>
          <t>VÄSTRA GÖTALANDS LÄN</t>
        </is>
      </c>
      <c r="G220" t="inlineStr">
        <is>
          <t>TÖREBODA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46265</v>
      </c>
      <c r="F221" t="inlineStr">
        <is>
          <t>VÄSTRA GÖTALANDS LÄN</t>
        </is>
      </c>
      <c r="G221" t="inlineStr">
        <is>
          <t>TÖREBODA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28196-2022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44746</v>
      </c>
      <c r="E222" s="1" t="n">
        <v>46265</v>
      </c>
      <c r="F222" t="inlineStr">
        <is>
          <t>VÄSTRA GÖTALANDS LÄN</t>
        </is>
      </c>
      <c r="G222" t="inlineStr">
        <is>
          <t>TÖREBODA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46265</v>
      </c>
      <c r="F223" t="inlineStr">
        <is>
          <t>VÄSTRA GÖTALANDS LÄN</t>
        </is>
      </c>
      <c r="G223" t="inlineStr">
        <is>
          <t>TÖREBODA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44950</v>
      </c>
      <c r="E224" s="1" t="n">
        <v>46265</v>
      </c>
      <c r="F224" t="inlineStr">
        <is>
          <t>VÄSTRA GÖTALANDS LÄN</t>
        </is>
      </c>
      <c r="G224" t="inlineStr">
        <is>
          <t>TÖREBODA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46265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46265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46265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46265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Övriga statliga verk och myndigheter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46265</v>
      </c>
      <c r="F229" t="inlineStr">
        <is>
          <t>VÄSTRA GÖTALANDS LÄN</t>
        </is>
      </c>
      <c r="G229" t="inlineStr">
        <is>
          <t>TÖREBODA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46265</v>
      </c>
      <c r="F230" t="inlineStr">
        <is>
          <t>VÄSTRA GÖTALANDS LÄN</t>
        </is>
      </c>
      <c r="G230" t="inlineStr">
        <is>
          <t>TÖREBODA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44740</v>
      </c>
      <c r="E231" s="1" t="n">
        <v>46265</v>
      </c>
      <c r="F231" t="inlineStr">
        <is>
          <t>VÄSTRA GÖTALANDS LÄN</t>
        </is>
      </c>
      <c r="G231" t="inlineStr">
        <is>
          <t>TÖREBODA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45651</v>
      </c>
      <c r="E232" s="1" t="n">
        <v>46265</v>
      </c>
      <c r="F232" t="inlineStr">
        <is>
          <t>VÄSTRA GÖTALANDS LÄN</t>
        </is>
      </c>
      <c r="G232" t="inlineStr">
        <is>
          <t>TÖREBODA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45485</v>
      </c>
      <c r="E233" s="1" t="n">
        <v>46265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48491-2022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46265</v>
      </c>
      <c r="F234" t="inlineStr">
        <is>
          <t>VÄSTRA GÖTALANDS LÄN</t>
        </is>
      </c>
      <c r="G234" t="inlineStr">
        <is>
          <t>TÖREBODA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58226-2022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46265</v>
      </c>
      <c r="F235" t="inlineStr">
        <is>
          <t>VÄSTRA GÖTALANDS LÄN</t>
        </is>
      </c>
      <c r="G235" t="inlineStr">
        <is>
          <t>TÖREBODA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46265</v>
      </c>
      <c r="F236" t="inlineStr">
        <is>
          <t>VÄSTRA GÖTALANDS LÄN</t>
        </is>
      </c>
      <c r="G236" t="inlineStr">
        <is>
          <t>TÖREBODA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45268</v>
      </c>
      <c r="E237" s="1" t="n">
        <v>46265</v>
      </c>
      <c r="F237" t="inlineStr">
        <is>
          <t>VÄSTRA GÖTALANDS LÄN</t>
        </is>
      </c>
      <c r="G237" t="inlineStr">
        <is>
          <t>TÖREBODA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46265</v>
      </c>
      <c r="F238" t="inlineStr">
        <is>
          <t>VÄSTRA GÖTALANDS LÄN</t>
        </is>
      </c>
      <c r="G238" t="inlineStr">
        <is>
          <t>TÖREBODA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44923</v>
      </c>
      <c r="E239" s="1" t="n">
        <v>46265</v>
      </c>
      <c r="F239" t="inlineStr">
        <is>
          <t>VÄSTRA GÖTALANDS LÄN</t>
        </is>
      </c>
      <c r="G239" t="inlineStr">
        <is>
          <t>TÖREBODA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45344</v>
      </c>
      <c r="E240" s="1" t="n">
        <v>46265</v>
      </c>
      <c r="F240" t="inlineStr">
        <is>
          <t>VÄSTRA GÖTALANDS LÄN</t>
        </is>
      </c>
      <c r="G240" t="inlineStr">
        <is>
          <t>TÖREBODA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44964</v>
      </c>
      <c r="E241" s="1" t="n">
        <v>46265</v>
      </c>
      <c r="F241" t="inlineStr">
        <is>
          <t>VÄSTRA GÖTALANDS LÄN</t>
        </is>
      </c>
      <c r="G241" t="inlineStr">
        <is>
          <t>TÖREBODA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44816</v>
      </c>
      <c r="E242" s="1" t="n">
        <v>46265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44599</v>
      </c>
      <c r="E243" s="1" t="n">
        <v>46265</v>
      </c>
      <c r="F243" t="inlineStr">
        <is>
          <t>VÄSTRA GÖTALANDS LÄN</t>
        </is>
      </c>
      <c r="G243" t="inlineStr">
        <is>
          <t>TÖREBODA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57984-2022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46265</v>
      </c>
      <c r="F244" t="inlineStr">
        <is>
          <t>VÄSTRA GÖTALANDS LÄN</t>
        </is>
      </c>
      <c r="G244" t="inlineStr">
        <is>
          <t>TÖREBODA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46265</v>
      </c>
      <c r="F245" t="inlineStr">
        <is>
          <t>VÄSTRA GÖTALANDS LÄN</t>
        </is>
      </c>
      <c r="G245" t="inlineStr">
        <is>
          <t>TÖREBODA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46265</v>
      </c>
      <c r="F246" t="inlineStr">
        <is>
          <t>VÄSTRA GÖTALANDS LÄN</t>
        </is>
      </c>
      <c r="G246" t="inlineStr">
        <is>
          <t>TÖREBODA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46265</v>
      </c>
      <c r="F247" t="inlineStr">
        <is>
          <t>VÄSTRA GÖTALANDS LÄN</t>
        </is>
      </c>
      <c r="G247" t="inlineStr">
        <is>
          <t>TÖREBODA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46265</v>
      </c>
      <c r="F248" t="inlineStr">
        <is>
          <t>VÄSTRA GÖTALANDS LÄN</t>
        </is>
      </c>
      <c r="G248" t="inlineStr">
        <is>
          <t>TÖREBODA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44937</v>
      </c>
      <c r="E249" s="1" t="n">
        <v>46265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Övriga statliga verk och myndigheter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46265</v>
      </c>
      <c r="F250" t="inlineStr">
        <is>
          <t>VÄSTRA GÖTALANDS LÄN</t>
        </is>
      </c>
      <c r="G250" t="inlineStr">
        <is>
          <t>TÖREBODA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46265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46265</v>
      </c>
      <c r="F252" t="inlineStr">
        <is>
          <t>VÄSTRA GÖTALANDS LÄN</t>
        </is>
      </c>
      <c r="G252" t="inlineStr">
        <is>
          <t>TÖREBODA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45699</v>
      </c>
      <c r="E253" s="1" t="n">
        <v>46265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46265</v>
      </c>
      <c r="F254" t="inlineStr">
        <is>
          <t>VÄSTRA GÖTALANDS LÄN</t>
        </is>
      </c>
      <c r="G254" t="inlineStr">
        <is>
          <t>TÖREBODA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46265</v>
      </c>
      <c r="F255" t="inlineStr">
        <is>
          <t>VÄSTRA GÖTALANDS LÄN</t>
        </is>
      </c>
      <c r="G255" t="inlineStr">
        <is>
          <t>TÖREBODA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44987</v>
      </c>
      <c r="E256" s="1" t="n">
        <v>46265</v>
      </c>
      <c r="F256" t="inlineStr">
        <is>
          <t>VÄSTRA GÖTALANDS LÄN</t>
        </is>
      </c>
      <c r="G256" t="inlineStr">
        <is>
          <t>TÖREBODA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44987</v>
      </c>
      <c r="E257" s="1" t="n">
        <v>46265</v>
      </c>
      <c r="F257" t="inlineStr">
        <is>
          <t>VÄSTRA GÖTALANDS LÄN</t>
        </is>
      </c>
      <c r="G257" t="inlineStr">
        <is>
          <t>TÖREBODA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46265</v>
      </c>
      <c r="F258" t="inlineStr">
        <is>
          <t>VÄSTRA GÖTALANDS LÄN</t>
        </is>
      </c>
      <c r="G258" t="inlineStr">
        <is>
          <t>TÖREBODA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44792</v>
      </c>
      <c r="E259" s="1" t="n">
        <v>46265</v>
      </c>
      <c r="F259" t="inlineStr">
        <is>
          <t>VÄSTRA GÖTALANDS LÄN</t>
        </is>
      </c>
      <c r="G259" t="inlineStr">
        <is>
          <t>TÖREBODA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46265</v>
      </c>
      <c r="F260" t="inlineStr">
        <is>
          <t>VÄSTRA GÖTALANDS LÄN</t>
        </is>
      </c>
      <c r="G260" t="inlineStr">
        <is>
          <t>TÖREBODA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4194-2024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45324</v>
      </c>
      <c r="E261" s="1" t="n">
        <v>46265</v>
      </c>
      <c r="F261" t="inlineStr">
        <is>
          <t>VÄSTRA GÖTALANDS LÄN</t>
        </is>
      </c>
      <c r="G261" t="inlineStr">
        <is>
          <t>TÖREBODA</t>
        </is>
      </c>
      <c r="I261" t="n">
        <v>28.9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45322</v>
      </c>
      <c r="E262" s="1" t="n">
        <v>46265</v>
      </c>
      <c r="F262" t="inlineStr">
        <is>
          <t>VÄSTRA GÖTALANDS LÄN</t>
        </is>
      </c>
      <c r="G262" t="inlineStr">
        <is>
          <t>TÖREBODA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45056</v>
      </c>
      <c r="E263" s="1" t="n">
        <v>46265</v>
      </c>
      <c r="F263" t="inlineStr">
        <is>
          <t>VÄSTRA GÖTALANDS LÄN</t>
        </is>
      </c>
      <c r="G263" t="inlineStr">
        <is>
          <t>TÖREBODA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44741</v>
      </c>
      <c r="E264" s="1" t="n">
        <v>46265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56831-2022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44894</v>
      </c>
      <c r="E265" s="1" t="n">
        <v>46265</v>
      </c>
      <c r="F265" t="inlineStr">
        <is>
          <t>VÄSTRA GÖTALANDS LÄN</t>
        </is>
      </c>
      <c r="G265" t="inlineStr">
        <is>
          <t>TÖREBODA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54621-2021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44473</v>
      </c>
      <c r="E266" s="1" t="n">
        <v>46265</v>
      </c>
      <c r="F266" t="inlineStr">
        <is>
          <t>VÄSTRA GÖTALANDS LÄN</t>
        </is>
      </c>
      <c r="G266" t="inlineStr">
        <is>
          <t>TÖREBODA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45750</v>
      </c>
      <c r="E267" s="1" t="n">
        <v>46265</v>
      </c>
      <c r="F267" t="inlineStr">
        <is>
          <t>VÄSTRA GÖTALANDS LÄN</t>
        </is>
      </c>
      <c r="G267" t="inlineStr">
        <is>
          <t>TÖREBODA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46265</v>
      </c>
      <c r="F268" t="inlineStr">
        <is>
          <t>VÄSTRA GÖTALANDS LÄN</t>
        </is>
      </c>
      <c r="G268" t="inlineStr">
        <is>
          <t>TÖREBODA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46265</v>
      </c>
      <c r="F269" t="inlineStr">
        <is>
          <t>VÄSTRA GÖTALANDS LÄN</t>
        </is>
      </c>
      <c r="G269" t="inlineStr">
        <is>
          <t>TÖREBODA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41627-2022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44827</v>
      </c>
      <c r="E270" s="1" t="n">
        <v>46265</v>
      </c>
      <c r="F270" t="inlineStr">
        <is>
          <t>VÄSTRA GÖTALANDS LÄN</t>
        </is>
      </c>
      <c r="G270" t="inlineStr">
        <is>
          <t>TÖREBODA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41632-2022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44827</v>
      </c>
      <c r="E271" s="1" t="n">
        <v>46265</v>
      </c>
      <c r="F271" t="inlineStr">
        <is>
          <t>VÄSTRA GÖTALANDS LÄN</t>
        </is>
      </c>
      <c r="G271" t="inlineStr">
        <is>
          <t>TÖREBODA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45552</v>
      </c>
      <c r="E272" s="1" t="n">
        <v>46265</v>
      </c>
      <c r="F272" t="inlineStr">
        <is>
          <t>VÄSTRA GÖTALANDS LÄN</t>
        </is>
      </c>
      <c r="G272" t="inlineStr">
        <is>
          <t>TÖREBODA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45700</v>
      </c>
      <c r="E273" s="1" t="n">
        <v>46265</v>
      </c>
      <c r="F273" t="inlineStr">
        <is>
          <t>VÄSTRA GÖTALANDS LÄN</t>
        </is>
      </c>
      <c r="G273" t="inlineStr">
        <is>
          <t>TÖREBODA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46265</v>
      </c>
      <c r="F274" t="inlineStr">
        <is>
          <t>VÄSTRA GÖTALANDS LÄN</t>
        </is>
      </c>
      <c r="G274" t="inlineStr">
        <is>
          <t>TÖREBODA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45552</v>
      </c>
      <c r="E275" s="1" t="n">
        <v>46265</v>
      </c>
      <c r="F275" t="inlineStr">
        <is>
          <t>VÄSTRA GÖTALANDS LÄN</t>
        </is>
      </c>
      <c r="G275" t="inlineStr">
        <is>
          <t>TÖREBODA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46265</v>
      </c>
      <c r="F276" t="inlineStr">
        <is>
          <t>VÄSTRA GÖTALANDS LÄN</t>
        </is>
      </c>
      <c r="G276" t="inlineStr">
        <is>
          <t>TÖREBODA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46265</v>
      </c>
      <c r="F277" t="inlineStr">
        <is>
          <t>VÄSTRA GÖTALANDS LÄN</t>
        </is>
      </c>
      <c r="G277" t="inlineStr">
        <is>
          <t>TÖREBODA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46152</v>
      </c>
      <c r="E278" s="1" t="n">
        <v>46265</v>
      </c>
      <c r="F278" t="inlineStr">
        <is>
          <t>VÄSTRA GÖTALANDS LÄN</t>
        </is>
      </c>
      <c r="G278" t="inlineStr">
        <is>
          <t>TÖREBODA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46152</v>
      </c>
      <c r="E279" s="1" t="n">
        <v>46265</v>
      </c>
      <c r="F279" t="inlineStr">
        <is>
          <t>VÄSTRA GÖTALANDS LÄN</t>
        </is>
      </c>
      <c r="G279" t="inlineStr">
        <is>
          <t>TÖREBODA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46152</v>
      </c>
      <c r="E280" s="1" t="n">
        <v>46265</v>
      </c>
      <c r="F280" t="inlineStr">
        <is>
          <t>VÄSTRA GÖTALANDS LÄN</t>
        </is>
      </c>
      <c r="G280" t="inlineStr">
        <is>
          <t>TÖREBODA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46265</v>
      </c>
      <c r="F281" t="inlineStr">
        <is>
          <t>VÄSTRA GÖTALANDS LÄN</t>
        </is>
      </c>
      <c r="G281" t="inlineStr">
        <is>
          <t>TÖREBODA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35489-2024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45531</v>
      </c>
      <c r="E282" s="1" t="n">
        <v>46265</v>
      </c>
      <c r="F282" t="inlineStr">
        <is>
          <t>VÄSTRA GÖTALANDS LÄN</t>
        </is>
      </c>
      <c r="G282" t="inlineStr">
        <is>
          <t>TÖREBODA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46265</v>
      </c>
      <c r="F283" t="inlineStr">
        <is>
          <t>VÄSTRA GÖTALANDS LÄN</t>
        </is>
      </c>
      <c r="G283" t="inlineStr">
        <is>
          <t>TÖREBODA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46152</v>
      </c>
      <c r="E284" s="1" t="n">
        <v>46265</v>
      </c>
      <c r="F284" t="inlineStr">
        <is>
          <t>VÄSTRA GÖTALANDS LÄN</t>
        </is>
      </c>
      <c r="G284" t="inlineStr">
        <is>
          <t>TÖREBODA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46265</v>
      </c>
      <c r="F285" t="inlineStr">
        <is>
          <t>VÄSTRA GÖTALANDS LÄN</t>
        </is>
      </c>
      <c r="G285" t="inlineStr">
        <is>
          <t>TÖREBODA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46265</v>
      </c>
      <c r="F286" t="inlineStr">
        <is>
          <t>VÄSTRA GÖTALANDS LÄN</t>
        </is>
      </c>
      <c r="G286" t="inlineStr">
        <is>
          <t>TÖREBODA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46265</v>
      </c>
      <c r="F287" t="inlineStr">
        <is>
          <t>VÄSTRA GÖTALANDS LÄN</t>
        </is>
      </c>
      <c r="G287" t="inlineStr">
        <is>
          <t>TÖREBODA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46265</v>
      </c>
      <c r="F288" t="inlineStr">
        <is>
          <t>VÄSTRA GÖTALANDS LÄN</t>
        </is>
      </c>
      <c r="G288" t="inlineStr">
        <is>
          <t>TÖREBODA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45352</v>
      </c>
      <c r="E289" s="1" t="n">
        <v>46265</v>
      </c>
      <c r="F289" t="inlineStr">
        <is>
          <t>VÄSTRA GÖTALANDS LÄN</t>
        </is>
      </c>
      <c r="G289" t="inlineStr">
        <is>
          <t>TÖREBODA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45665</v>
      </c>
      <c r="E290" s="1" t="n">
        <v>46265</v>
      </c>
      <c r="F290" t="inlineStr">
        <is>
          <t>VÄSTRA GÖTALANDS LÄN</t>
        </is>
      </c>
      <c r="G290" t="inlineStr">
        <is>
          <t>TÖREBODA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46265</v>
      </c>
      <c r="F291" t="inlineStr">
        <is>
          <t>VÄSTRA GÖTALANDS LÄN</t>
        </is>
      </c>
      <c r="G291" t="inlineStr">
        <is>
          <t>TÖREBODA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46265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45777</v>
      </c>
      <c r="E293" s="1" t="n">
        <v>46265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46265</v>
      </c>
      <c r="F294" t="inlineStr">
        <is>
          <t>VÄSTRA GÖTALANDS LÄN</t>
        </is>
      </c>
      <c r="G294" t="inlineStr">
        <is>
          <t>TÖREBODA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46265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46265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45637</v>
      </c>
      <c r="E297" s="1" t="n">
        <v>46265</v>
      </c>
      <c r="F297" t="inlineStr">
        <is>
          <t>VÄSTRA GÖTALANDS LÄN</t>
        </is>
      </c>
      <c r="G297" t="inlineStr">
        <is>
          <t>TÖREBODA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46265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46231</v>
      </c>
      <c r="E299" s="1" t="n">
        <v>46265</v>
      </c>
      <c r="F299" t="inlineStr">
        <is>
          <t>VÄSTRA GÖTALANDS LÄN</t>
        </is>
      </c>
      <c r="G299" t="inlineStr">
        <is>
          <t>TÖREBODA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46265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46265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46265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46265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46265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46251</v>
      </c>
      <c r="E305" s="1" t="n">
        <v>46265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46265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46265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46265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46265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46265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46265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46265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2026-08-31T09:56:25Z</dcterms:created>
  <dcterms:modified xmlns:dcterms="http://purl.org/dc/terms/" xmlns:xsi="http://www.w3.org/2001/XMLSchema-instance" xsi:type="dcterms:W3CDTF">2026-08-31T09:56:25Z</dcterms:modified>
</cp:coreProperties>
</file>