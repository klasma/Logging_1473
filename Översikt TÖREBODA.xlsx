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46254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46254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46254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46254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46254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46254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46254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46254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46254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46254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Ormbär
Revlummer</t>
        </is>
      </c>
      <c r="W15">
        <f>HYPERLINK("https://klasma.github.io/Logging_1473/artfynd/A 30197-2026 artfynd.xlsx", "A 30197-2026")</f>
        <v/>
      </c>
      <c r="X15">
        <f>HYPERLINK("https://klasma.github.io/Logging_1473/kartor/A 30197-2026 karta.png", "A 30197-2026")</f>
        <v/>
      </c>
      <c r="Y15">
        <f>HYPERLINK("https://klasma.github.io/Logging_1473/kartor_geotiff/A 30197-2026 georefererad karta.tif", "A 30197-2026")</f>
        <v/>
      </c>
      <c r="AA15">
        <f>HYPERLINK("https://klasma.github.io/Logging_1473/klagomål/A 30197-2026 FSC-klagomål.docx", "A 30197-2026")</f>
        <v/>
      </c>
      <c r="AB15">
        <f>HYPERLINK("https://klasma.github.io/Logging_1473/klagomålsmail/A 30197-2026 FSC-klagomål mail.docx", "A 30197-2026")</f>
        <v/>
      </c>
      <c r="AC15">
        <f>HYPERLINK("https://klasma.github.io/Logging_1473/tillsyn/A 30197-2026 tillsynsbegäran.docx", "A 30197-2026")</f>
        <v/>
      </c>
      <c r="AD15">
        <f>HYPERLINK("https://klasma.github.io/Logging_1473/tillsynsmail/A 30197-2026 tillsynsbegäran mail.docx", "A 30197-2026")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46254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46254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46254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46254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46254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55174-2024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46254</v>
      </c>
      <c r="F21" t="inlineStr">
        <is>
          <t>VÄSTRA GÖTALANDS LÄN</t>
        </is>
      </c>
      <c r="G21" t="inlineStr">
        <is>
          <t>TÖREBODA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HYPERLINK("https://klasma.github.io/Logging_1473/artfynd/A 55174-2024 artfynd.xlsx", "A 55174-2024")</f>
        <v/>
      </c>
      <c r="X21">
        <f>HYPERLINK("https://klasma.github.io/Logging_1473/kartor/A 55174-2024 karta.png", "A 55174-2024")</f>
        <v/>
      </c>
      <c r="Y21">
        <f>HYPERLINK("https://klasma.github.io/Logging_1473/kartor_geotiff/A 55174-2024 georefererad karta.tif", "A 55174-2024")</f>
        <v/>
      </c>
      <c r="AA21">
        <f>HYPERLINK("https://klasma.github.io/Logging_1473/klagomål/A 55174-2024 FSC-klagomål.docx", "A 55174-2024")</f>
        <v/>
      </c>
      <c r="AB21">
        <f>HYPERLINK("https://klasma.github.io/Logging_1473/klagomålsmail/A 55174-2024 FSC-klagomål mail.docx", "A 55174-2024")</f>
        <v/>
      </c>
      <c r="AC21">
        <f>HYPERLINK("https://klasma.github.io/Logging_1473/tillsyn/A 55174-2024 tillsynsbegäran.docx", "A 55174-2024")</f>
        <v/>
      </c>
      <c r="AD21">
        <f>HYPERLINK("https://klasma.github.io/Logging_1473/tillsynsmail/A 55174-2024 tillsynsbegäran mail.docx", "A 55174-2024")</f>
        <v/>
      </c>
    </row>
    <row r="22" ht="15" customHeight="1">
      <c r="A22" t="inlineStr">
        <is>
          <t>A 1591-2023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46254</v>
      </c>
      <c r="F22" t="inlineStr">
        <is>
          <t>VÄSTRA GÖTALANDS LÄN</t>
        </is>
      </c>
      <c r="G22" t="inlineStr">
        <is>
          <t>TÖREBODA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Grantaggsvamp</t>
        </is>
      </c>
      <c r="W22">
        <f>HYPERLINK("https://klasma.github.io/Logging_1473/artfynd/A 1591-2023 artfynd.xlsx", "A 1591-2023")</f>
        <v/>
      </c>
      <c r="X22">
        <f>HYPERLINK("https://klasma.github.io/Logging_1473/kartor/A 1591-2023 karta.png", "A 1591-2023")</f>
        <v/>
      </c>
      <c r="Y22">
        <f>HYPERLINK("https://klasma.github.io/Logging_1473/kartor_geotiff/A 1591-2023 georefererad karta.tif", "A 1591-2023")</f>
        <v/>
      </c>
      <c r="AA22">
        <f>HYPERLINK("https://klasma.github.io/Logging_1473/klagomål/A 1591-2023 FSC-klagomål.docx", "A 1591-2023")</f>
        <v/>
      </c>
      <c r="AB22">
        <f>HYPERLINK("https://klasma.github.io/Logging_1473/klagomålsmail/A 1591-2023 FSC-klagomål mail.docx", "A 1591-2023")</f>
        <v/>
      </c>
      <c r="AC22">
        <f>HYPERLINK("https://klasma.github.io/Logging_1473/tillsyn/A 1591-2023 tillsynsbegäran.docx", "A 1591-2023")</f>
        <v/>
      </c>
      <c r="AD22">
        <f>HYPERLINK("https://klasma.github.io/Logging_1473/tillsynsmail/A 1591-2023 tillsynsbegäran mail.docx", "A 1591-2023")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46254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30816-2026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46254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Kyrkan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30816-2026 artfynd.xlsx", "A 30816-2026")</f>
        <v/>
      </c>
      <c r="X24">
        <f>HYPERLINK("https://klasma.github.io/Logging_1473/kartor/A 30816-2026 karta.png", "A 30816-2026")</f>
        <v/>
      </c>
      <c r="Y24">
        <f>HYPERLINK("https://klasma.github.io/Logging_1473/kartor_geotiff/A 30816-2026 georefererad karta.tif", "A 30816-2026")</f>
        <v/>
      </c>
      <c r="AA24">
        <f>HYPERLINK("https://klasma.github.io/Logging_1473/klagomål/A 30816-2026 FSC-klagomål.docx", "A 30816-2026")</f>
        <v/>
      </c>
      <c r="AB24">
        <f>HYPERLINK("https://klasma.github.io/Logging_1473/klagomålsmail/A 30816-2026 FSC-klagomål mail.docx", "A 30816-2026")</f>
        <v/>
      </c>
      <c r="AC24">
        <f>HYPERLINK("https://klasma.github.io/Logging_1473/tillsyn/A 30816-2026 tillsynsbegäran.docx", "A 30816-2026")</f>
        <v/>
      </c>
      <c r="AD24">
        <f>HYPERLINK("https://klasma.github.io/Logging_1473/tillsynsmail/A 30816-2026 tillsynsbegäran mail.docx", "A 30816-2026")</f>
        <v/>
      </c>
      <c r="AE24">
        <f>HYPERLINK("https://klasma.github.io/Logging_1473/fåglar/A 30816-2026 prioriterade fågelarter.docx", "A 30816-2026")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46254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46254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46254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46254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12168-2025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46254</v>
      </c>
      <c r="F29" t="inlineStr">
        <is>
          <t>VÄSTRA GÖTALANDS LÄN</t>
        </is>
      </c>
      <c r="G29" t="inlineStr">
        <is>
          <t>TÖREBODA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HYPERLINK("https://klasma.github.io/Logging_1473/artfynd/A 12168-2025 artfynd.xlsx", "A 12168-2025")</f>
        <v/>
      </c>
      <c r="X29">
        <f>HYPERLINK("https://klasma.github.io/Logging_1473/kartor/A 12168-2025 karta.png", "A 12168-2025")</f>
        <v/>
      </c>
      <c r="Y29">
        <f>HYPERLINK("https://klasma.github.io/Logging_1473/kartor_geotiff/A 12168-2025 georefererad karta.tif", "A 12168-2025")</f>
        <v/>
      </c>
      <c r="AA29">
        <f>HYPERLINK("https://klasma.github.io/Logging_1473/klagomål/A 12168-2025 FSC-klagomål.docx", "A 12168-2025")</f>
        <v/>
      </c>
      <c r="AB29">
        <f>HYPERLINK("https://klasma.github.io/Logging_1473/klagomålsmail/A 12168-2025 FSC-klagomål mail.docx", "A 12168-2025")</f>
        <v/>
      </c>
      <c r="AC29">
        <f>HYPERLINK("https://klasma.github.io/Logging_1473/tillsyn/A 12168-2025 tillsynsbegäran.docx", "A 12168-2025")</f>
        <v/>
      </c>
      <c r="AD29">
        <f>HYPERLINK("https://klasma.github.io/Logging_1473/tillsynsmail/A 12168-2025 tillsynsbegäran mail.docx", "A 12168-2025")</f>
        <v/>
      </c>
      <c r="AE29">
        <f>HYPERLINK("https://klasma.github.io/Logging_1473/fåglar/A 12168-2025 prioriterade fågelarter.docx", "A 12168-2025")</f>
        <v/>
      </c>
    </row>
    <row r="30" ht="15" customHeight="1">
      <c r="A30" t="inlineStr">
        <is>
          <t>A 17540-2025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45757</v>
      </c>
      <c r="E30" s="1" t="n">
        <v>46254</v>
      </c>
      <c r="F30" t="inlineStr">
        <is>
          <t>VÄSTRA GÖTALANDS LÄN</t>
        </is>
      </c>
      <c r="G30" t="inlineStr">
        <is>
          <t>TÖREBODA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Vattenfladdermus</t>
        </is>
      </c>
      <c r="W30">
        <f>HYPERLINK("https://klasma.github.io/Logging_1473/artfynd/A 17540-2025 artfynd.xlsx", "A 17540-2025")</f>
        <v/>
      </c>
      <c r="X30">
        <f>HYPERLINK("https://klasma.github.io/Logging_1473/kartor/A 17540-2025 karta.png", "A 17540-2025")</f>
        <v/>
      </c>
      <c r="Y30">
        <f>HYPERLINK("https://klasma.github.io/Logging_1473/kartor_geotiff/A 17540-2025 georefererad karta.tif", "A 17540-2025")</f>
        <v/>
      </c>
      <c r="AA30">
        <f>HYPERLINK("https://klasma.github.io/Logging_1473/klagomål/A 17540-2025 FSC-klagomål.docx", "A 17540-2025")</f>
        <v/>
      </c>
      <c r="AB30">
        <f>HYPERLINK("https://klasma.github.io/Logging_1473/klagomålsmail/A 17540-2025 FSC-klagomål mail.docx", "A 17540-2025")</f>
        <v/>
      </c>
      <c r="AC30">
        <f>HYPERLINK("https://klasma.github.io/Logging_1473/tillsyn/A 17540-2025 tillsynsbegäran.docx", "A 17540-2025")</f>
        <v/>
      </c>
      <c r="AD30">
        <f>HYPERLINK("https://klasma.github.io/Logging_1473/tillsynsmail/A 17540-2025 tillsynsbegäran mail.docx", "A 17540-2025")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46254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Mattlummer</t>
        </is>
      </c>
      <c r="W31">
        <f>HYPERLINK("https://klasma.github.io/Logging_1473/artfynd/A 14755-2025 artfynd.xlsx", "A 14755-2025")</f>
        <v/>
      </c>
      <c r="X31">
        <f>HYPERLINK("https://klasma.github.io/Logging_1473/kartor/A 14755-2025 karta.png", "A 14755-2025")</f>
        <v/>
      </c>
      <c r="Y31">
        <f>HYPERLINK("https://klasma.github.io/Logging_1473/kartor_geotiff/A 14755-2025 georefererad karta.tif", "A 14755-2025")</f>
        <v/>
      </c>
      <c r="AA31">
        <f>HYPERLINK("https://klasma.github.io/Logging_1473/klagomål/A 14755-2025 FSC-klagomål.docx", "A 14755-2025")</f>
        <v/>
      </c>
      <c r="AB31">
        <f>HYPERLINK("https://klasma.github.io/Logging_1473/klagomålsmail/A 14755-2025 FSC-klagomål mail.docx", "A 14755-2025")</f>
        <v/>
      </c>
      <c r="AC31">
        <f>HYPERLINK("https://klasma.github.io/Logging_1473/tillsyn/A 14755-2025 tillsynsbegäran.docx", "A 14755-2025")</f>
        <v/>
      </c>
      <c r="AD31">
        <f>HYPERLINK("https://klasma.github.io/Logging_1473/tillsynsmail/A 14755-2025 tillsynsbegäran mail.docx", "A 14755-2025")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46254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46254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46254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46254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46254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46254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46254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46254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46254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46254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46254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46254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46254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46254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46254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46254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46254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46254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46254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46254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46254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46254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46254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46254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46254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46254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46254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46254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46254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46254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46254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46254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46254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46254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46254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46254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45457</v>
      </c>
      <c r="E69" s="1" t="n">
        <v>46254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statliga verk och myndigheter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46254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46254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46254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11680-2024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45373</v>
      </c>
      <c r="E73" s="1" t="n">
        <v>46254</v>
      </c>
      <c r="F73" t="inlineStr">
        <is>
          <t>VÄSTRA GÖTALANDS LÄN</t>
        </is>
      </c>
      <c r="G73" t="inlineStr">
        <is>
          <t>TÖREBODA</t>
        </is>
      </c>
      <c r="I73" t="n">
        <v>12.3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46254</v>
      </c>
      <c r="F74" t="inlineStr">
        <is>
          <t>VÄSTRA GÖTALANDS LÄN</t>
        </is>
      </c>
      <c r="G74" t="inlineStr">
        <is>
          <t>TÖREBODA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46254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46254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46254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46254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46254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46254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46254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45344</v>
      </c>
      <c r="E82" s="1" t="n">
        <v>46254</v>
      </c>
      <c r="F82" t="inlineStr">
        <is>
          <t>VÄSTRA GÖTALANDS LÄN</t>
        </is>
      </c>
      <c r="G82" t="inlineStr">
        <is>
          <t>TÖREBODA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46254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46254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19723-2023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45051</v>
      </c>
      <c r="E85" s="1" t="n">
        <v>46254</v>
      </c>
      <c r="F85" t="inlineStr">
        <is>
          <t>VÄSTRA GÖTALANDS LÄN</t>
        </is>
      </c>
      <c r="G85" t="inlineStr">
        <is>
          <t>TÖREBODA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46254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46254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46254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46254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46254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46254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46254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45460</v>
      </c>
      <c r="E93" s="1" t="n">
        <v>46254</v>
      </c>
      <c r="F93" t="inlineStr">
        <is>
          <t>VÄSTRA GÖTALANDS LÄN</t>
        </is>
      </c>
      <c r="G93" t="inlineStr">
        <is>
          <t>TÖREBODA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46254</v>
      </c>
      <c r="F94" t="inlineStr">
        <is>
          <t>VÄSTRA GÖTALANDS LÄN</t>
        </is>
      </c>
      <c r="G94" t="inlineStr">
        <is>
          <t>TÖREBODA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46254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46254</v>
      </c>
      <c r="F96" t="inlineStr">
        <is>
          <t>VÄSTRA GÖTALANDS LÄN</t>
        </is>
      </c>
      <c r="G96" t="inlineStr">
        <is>
          <t>TÖREBODA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45450</v>
      </c>
      <c r="E97" s="1" t="n">
        <v>46254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46254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46254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46254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46254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46254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46254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46254</v>
      </c>
      <c r="F104" t="inlineStr">
        <is>
          <t>VÄSTRA GÖTALANDS LÄN</t>
        </is>
      </c>
      <c r="G104" t="inlineStr">
        <is>
          <t>TÖREBODA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44749</v>
      </c>
      <c r="E105" s="1" t="n">
        <v>46254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46254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46254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44950</v>
      </c>
      <c r="E108" s="1" t="n">
        <v>46254</v>
      </c>
      <c r="F108" t="inlineStr">
        <is>
          <t>VÄSTRA GÖTALANDS LÄN</t>
        </is>
      </c>
      <c r="G108" t="inlineStr">
        <is>
          <t>TÖREBODA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44740</v>
      </c>
      <c r="E109" s="1" t="n">
        <v>46254</v>
      </c>
      <c r="F109" t="inlineStr">
        <is>
          <t>VÄSTRA GÖTALANDS LÄN</t>
        </is>
      </c>
      <c r="G109" t="inlineStr">
        <is>
          <t>TÖREBODA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45625</v>
      </c>
      <c r="E110" s="1" t="n">
        <v>46254</v>
      </c>
      <c r="F110" t="inlineStr">
        <is>
          <t>VÄSTRA GÖTALANDS LÄN</t>
        </is>
      </c>
      <c r="G110" t="inlineStr">
        <is>
          <t>TÖREBODA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44894</v>
      </c>
      <c r="E111" s="1" t="n">
        <v>46254</v>
      </c>
      <c r="F111" t="inlineStr">
        <is>
          <t>VÄSTRA GÖTALANDS LÄN</t>
        </is>
      </c>
      <c r="G111" t="inlineStr">
        <is>
          <t>TÖREBODA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46254</v>
      </c>
      <c r="F112" t="inlineStr">
        <is>
          <t>VÄSTRA GÖTALANDS LÄN</t>
        </is>
      </c>
      <c r="G112" t="inlineStr">
        <is>
          <t>TÖREBODA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45457</v>
      </c>
      <c r="E113" s="1" t="n">
        <v>46254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45341</v>
      </c>
      <c r="E114" s="1" t="n">
        <v>46254</v>
      </c>
      <c r="F114" t="inlineStr">
        <is>
          <t>VÄSTRA GÖTALANDS LÄN</t>
        </is>
      </c>
      <c r="G114" t="inlineStr">
        <is>
          <t>TÖREBODA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46254</v>
      </c>
      <c r="F115" t="inlineStr">
        <is>
          <t>VÄSTRA GÖTALANDS LÄN</t>
        </is>
      </c>
      <c r="G115" t="inlineStr">
        <is>
          <t>TÖREBODA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46254</v>
      </c>
      <c r="F116" t="inlineStr">
        <is>
          <t>VÄSTRA GÖTALANDS LÄN</t>
        </is>
      </c>
      <c r="G116" t="inlineStr">
        <is>
          <t>TÖREBODA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46254</v>
      </c>
      <c r="F117" t="inlineStr">
        <is>
          <t>VÄSTRA GÖTALANDS LÄN</t>
        </is>
      </c>
      <c r="G117" t="inlineStr">
        <is>
          <t>TÖREBODA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45233</v>
      </c>
      <c r="E118" s="1" t="n">
        <v>46254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46254</v>
      </c>
      <c r="F119" t="inlineStr">
        <is>
          <t>VÄSTRA GÖTALANDS LÄN</t>
        </is>
      </c>
      <c r="G119" t="inlineStr">
        <is>
          <t>TÖREBODA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44860</v>
      </c>
      <c r="E120" s="1" t="n">
        <v>46254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44924</v>
      </c>
      <c r="E121" s="1" t="n">
        <v>46254</v>
      </c>
      <c r="F121" t="inlineStr">
        <is>
          <t>VÄSTRA GÖTALANDS LÄN</t>
        </is>
      </c>
      <c r="G121" t="inlineStr">
        <is>
          <t>TÖREBODA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46254</v>
      </c>
      <c r="F122" t="inlineStr">
        <is>
          <t>VÄSTRA GÖTALANDS LÄN</t>
        </is>
      </c>
      <c r="G122" t="inlineStr">
        <is>
          <t>TÖREBODA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45142</v>
      </c>
      <c r="E123" s="1" t="n">
        <v>46254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46254</v>
      </c>
      <c r="F124" t="inlineStr">
        <is>
          <t>VÄSTRA GÖTALANDS LÄN</t>
        </is>
      </c>
      <c r="G124" t="inlineStr">
        <is>
          <t>TÖREBODA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45399</v>
      </c>
      <c r="E125" s="1" t="n">
        <v>46254</v>
      </c>
      <c r="F125" t="inlineStr">
        <is>
          <t>VÄSTRA GÖTALANDS LÄN</t>
        </is>
      </c>
      <c r="G125" t="inlineStr">
        <is>
          <t>TÖREBODA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46254</v>
      </c>
      <c r="F126" t="inlineStr">
        <is>
          <t>VÄSTRA GÖTALANDS LÄN</t>
        </is>
      </c>
      <c r="G126" t="inlineStr">
        <is>
          <t>TÖREBODA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46254</v>
      </c>
      <c r="F127" t="inlineStr">
        <is>
          <t>VÄSTRA GÖTALANDS LÄN</t>
        </is>
      </c>
      <c r="G127" t="inlineStr">
        <is>
          <t>TÖREBODA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45885</v>
      </c>
      <c r="E128" s="1" t="n">
        <v>46254</v>
      </c>
      <c r="F128" t="inlineStr">
        <is>
          <t>VÄSTRA GÖTALANDS LÄN</t>
        </is>
      </c>
      <c r="G128" t="inlineStr">
        <is>
          <t>TÖREBODA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38706-2025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45885</v>
      </c>
      <c r="E129" s="1" t="n">
        <v>46254</v>
      </c>
      <c r="F129" t="inlineStr">
        <is>
          <t>VÄSTRA GÖTALANDS LÄN</t>
        </is>
      </c>
      <c r="G129" t="inlineStr">
        <is>
          <t>TÖREBODA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44901</v>
      </c>
      <c r="E130" s="1" t="n">
        <v>46254</v>
      </c>
      <c r="F130" t="inlineStr">
        <is>
          <t>VÄSTRA GÖTALANDS LÄN</t>
        </is>
      </c>
      <c r="G130" t="inlineStr">
        <is>
          <t>TÖREBODA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44924</v>
      </c>
      <c r="E131" s="1" t="n">
        <v>46254</v>
      </c>
      <c r="F131" t="inlineStr">
        <is>
          <t>VÄSTRA GÖTALANDS LÄN</t>
        </is>
      </c>
      <c r="G131" t="inlineStr">
        <is>
          <t>TÖREBODA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46254</v>
      </c>
      <c r="F132" t="inlineStr">
        <is>
          <t>VÄSTRA GÖTALANDS LÄN</t>
        </is>
      </c>
      <c r="G132" t="inlineStr">
        <is>
          <t>TÖREBODA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38704-2025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45885</v>
      </c>
      <c r="E133" s="1" t="n">
        <v>46254</v>
      </c>
      <c r="F133" t="inlineStr">
        <is>
          <t>VÄSTRA GÖTALANDS LÄN</t>
        </is>
      </c>
      <c r="G133" t="inlineStr">
        <is>
          <t>TÖREBODA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20471-2026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46254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54621-2021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46254</v>
      </c>
      <c r="F135" t="inlineStr">
        <is>
          <t>VÄSTRA GÖTALANDS LÄN</t>
        </is>
      </c>
      <c r="G135" t="inlineStr">
        <is>
          <t>TÖREBODA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46254</v>
      </c>
      <c r="F136" t="inlineStr">
        <is>
          <t>VÄSTRA GÖTALANDS LÄN</t>
        </is>
      </c>
      <c r="G136" t="inlineStr">
        <is>
          <t>TÖREBODA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46254</v>
      </c>
      <c r="F137" t="inlineStr">
        <is>
          <t>VÄSTRA GÖTALANDS LÄN</t>
        </is>
      </c>
      <c r="G137" t="inlineStr">
        <is>
          <t>TÖREBODA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46254</v>
      </c>
      <c r="F138" t="inlineStr">
        <is>
          <t>VÄSTRA GÖTALANDS LÄN</t>
        </is>
      </c>
      <c r="G138" t="inlineStr">
        <is>
          <t>TÖREBODA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46146</v>
      </c>
      <c r="E139" s="1" t="n">
        <v>46254</v>
      </c>
      <c r="F139" t="inlineStr">
        <is>
          <t>VÄSTRA GÖTALANDS LÄN</t>
        </is>
      </c>
      <c r="G139" t="inlineStr">
        <is>
          <t>TÖREBODA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46254</v>
      </c>
      <c r="F140" t="inlineStr">
        <is>
          <t>VÄSTRA GÖTALANDS LÄN</t>
        </is>
      </c>
      <c r="G140" t="inlineStr">
        <is>
          <t>TÖREBODA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46254</v>
      </c>
      <c r="F141" t="inlineStr">
        <is>
          <t>VÄSTRA GÖTALANDS LÄN</t>
        </is>
      </c>
      <c r="G141" t="inlineStr">
        <is>
          <t>TÖREBODA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46152</v>
      </c>
      <c r="E142" s="1" t="n">
        <v>46254</v>
      </c>
      <c r="F142" t="inlineStr">
        <is>
          <t>VÄSTRA GÖTALANDS LÄN</t>
        </is>
      </c>
      <c r="G142" t="inlineStr">
        <is>
          <t>TÖREBODA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46152</v>
      </c>
      <c r="E143" s="1" t="n">
        <v>46254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46152</v>
      </c>
      <c r="E144" s="1" t="n">
        <v>46254</v>
      </c>
      <c r="F144" t="inlineStr">
        <is>
          <t>VÄSTRA GÖTALANDS LÄN</t>
        </is>
      </c>
      <c r="G144" t="inlineStr">
        <is>
          <t>TÖREBODA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46254</v>
      </c>
      <c r="F145" t="inlineStr">
        <is>
          <t>VÄSTRA GÖTALANDS LÄN</t>
        </is>
      </c>
      <c r="G145" t="inlineStr">
        <is>
          <t>TÖREBODA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46254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46152</v>
      </c>
      <c r="E147" s="1" t="n">
        <v>46254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21962-2026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46152</v>
      </c>
      <c r="E148" s="1" t="n">
        <v>46254</v>
      </c>
      <c r="F148" t="inlineStr">
        <is>
          <t>VÄSTRA GÖTALANDS LÄN</t>
        </is>
      </c>
      <c r="G148" t="inlineStr">
        <is>
          <t>TÖREBODA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46152</v>
      </c>
      <c r="E149" s="1" t="n">
        <v>46254</v>
      </c>
      <c r="F149" t="inlineStr">
        <is>
          <t>VÄSTRA GÖTALANDS LÄN</t>
        </is>
      </c>
      <c r="G149" t="inlineStr">
        <is>
          <t>TÖREBODA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46152</v>
      </c>
      <c r="E150" s="1" t="n">
        <v>46254</v>
      </c>
      <c r="F150" t="inlineStr">
        <is>
          <t>VÄSTRA GÖTALANDS LÄN</t>
        </is>
      </c>
      <c r="G150" t="inlineStr">
        <is>
          <t>TÖREBODA</t>
        </is>
      </c>
      <c r="I150" t="n">
        <v>8.699999999999999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46152</v>
      </c>
      <c r="E151" s="1" t="n">
        <v>46254</v>
      </c>
      <c r="F151" t="inlineStr">
        <is>
          <t>VÄSTRA GÖTALANDS LÄN</t>
        </is>
      </c>
      <c r="G151" t="inlineStr">
        <is>
          <t>TÖREBODA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46254</v>
      </c>
      <c r="F152" t="inlineStr">
        <is>
          <t>VÄSTRA GÖTALANDS LÄN</t>
        </is>
      </c>
      <c r="G152" t="inlineStr">
        <is>
          <t>TÖREBODA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46254</v>
      </c>
      <c r="F153" t="inlineStr">
        <is>
          <t>VÄSTRA GÖTALANDS LÄN</t>
        </is>
      </c>
      <c r="G153" t="inlineStr">
        <is>
          <t>TÖREBODA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46254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46254</v>
      </c>
      <c r="F155" t="inlineStr">
        <is>
          <t>VÄSTRA GÖTALANDS LÄN</t>
        </is>
      </c>
      <c r="G155" t="inlineStr">
        <is>
          <t>TÖREBODA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46254</v>
      </c>
      <c r="F156" t="inlineStr">
        <is>
          <t>VÄSTRA GÖTALANDS LÄN</t>
        </is>
      </c>
      <c r="G156" t="inlineStr">
        <is>
          <t>TÖREBODA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45082</v>
      </c>
      <c r="E157" s="1" t="n">
        <v>46254</v>
      </c>
      <c r="F157" t="inlineStr">
        <is>
          <t>VÄSTRA GÖTALANDS LÄN</t>
        </is>
      </c>
      <c r="G157" t="inlineStr">
        <is>
          <t>TÖREBODA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46254</v>
      </c>
      <c r="F158" t="inlineStr">
        <is>
          <t>VÄSTRA GÖTALANDS LÄN</t>
        </is>
      </c>
      <c r="G158" t="inlineStr">
        <is>
          <t>TÖREBODA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46254</v>
      </c>
      <c r="F159" t="inlineStr">
        <is>
          <t>VÄSTRA GÖTALANDS LÄN</t>
        </is>
      </c>
      <c r="G159" t="inlineStr">
        <is>
          <t>TÖREBODA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45352</v>
      </c>
      <c r="E160" s="1" t="n">
        <v>46254</v>
      </c>
      <c r="F160" t="inlineStr">
        <is>
          <t>VÄSTRA GÖTALANDS LÄN</t>
        </is>
      </c>
      <c r="G160" t="inlineStr">
        <is>
          <t>TÖREBODA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45915</v>
      </c>
      <c r="E161" s="1" t="n">
        <v>46254</v>
      </c>
      <c r="F161" t="inlineStr">
        <is>
          <t>VÄSTRA GÖTALANDS LÄN</t>
        </is>
      </c>
      <c r="G161" t="inlineStr">
        <is>
          <t>TÖREBODA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46254</v>
      </c>
      <c r="F162" t="inlineStr">
        <is>
          <t>VÄSTRA GÖTALANDS LÄN</t>
        </is>
      </c>
      <c r="G162" t="inlineStr">
        <is>
          <t>TÖREBODA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45268</v>
      </c>
      <c r="E163" s="1" t="n">
        <v>46254</v>
      </c>
      <c r="F163" t="inlineStr">
        <is>
          <t>VÄSTRA GÖTALANDS LÄN</t>
        </is>
      </c>
      <c r="G163" t="inlineStr">
        <is>
          <t>TÖREBODA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46254</v>
      </c>
      <c r="F164" t="inlineStr">
        <is>
          <t>VÄSTRA GÖTALANDS LÄN</t>
        </is>
      </c>
      <c r="G164" t="inlineStr">
        <is>
          <t>TÖREBODA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46254</v>
      </c>
      <c r="F165" t="inlineStr">
        <is>
          <t>VÄSTRA GÖTALANDS LÄN</t>
        </is>
      </c>
      <c r="G165" t="inlineStr">
        <is>
          <t>TÖREBODA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46254</v>
      </c>
      <c r="F166" t="inlineStr">
        <is>
          <t>VÄSTRA GÖTALANDS LÄN</t>
        </is>
      </c>
      <c r="G166" t="inlineStr">
        <is>
          <t>TÖREBODA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46254</v>
      </c>
      <c r="F167" t="inlineStr">
        <is>
          <t>VÄSTRA GÖTALANDS LÄN</t>
        </is>
      </c>
      <c r="G167" t="inlineStr">
        <is>
          <t>TÖREBODA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46254</v>
      </c>
      <c r="F168" t="inlineStr">
        <is>
          <t>VÄSTRA GÖTALANDS LÄN</t>
        </is>
      </c>
      <c r="G168" t="inlineStr">
        <is>
          <t>TÖREBODA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45349</v>
      </c>
      <c r="E169" s="1" t="n">
        <v>46254</v>
      </c>
      <c r="F169" t="inlineStr">
        <is>
          <t>VÄSTRA GÖTALANDS LÄN</t>
        </is>
      </c>
      <c r="G169" t="inlineStr">
        <is>
          <t>TÖREBODA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45919</v>
      </c>
      <c r="E170" s="1" t="n">
        <v>46254</v>
      </c>
      <c r="F170" t="inlineStr">
        <is>
          <t>VÄSTRA GÖTALANDS LÄN</t>
        </is>
      </c>
      <c r="G170" t="inlineStr">
        <is>
          <t>TÖREBODA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46254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46168</v>
      </c>
      <c r="E172" s="1" t="n">
        <v>46254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46254</v>
      </c>
      <c r="F173" t="inlineStr">
        <is>
          <t>VÄSTRA GÖTALANDS LÄN</t>
        </is>
      </c>
      <c r="G173" t="inlineStr">
        <is>
          <t>TÖREBODA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46254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46254</v>
      </c>
      <c r="F175" t="inlineStr">
        <is>
          <t>VÄSTRA GÖTALANDS LÄN</t>
        </is>
      </c>
      <c r="G175" t="inlineStr">
        <is>
          <t>TÖREBODA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46254</v>
      </c>
      <c r="F176" t="inlineStr">
        <is>
          <t>VÄSTRA GÖTALANDS LÄN</t>
        </is>
      </c>
      <c r="G176" t="inlineStr">
        <is>
          <t>TÖREBODA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46254</v>
      </c>
      <c r="F177" t="inlineStr">
        <is>
          <t>VÄSTRA GÖTALANDS LÄN</t>
        </is>
      </c>
      <c r="G177" t="inlineStr">
        <is>
          <t>TÖREBODA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46254</v>
      </c>
      <c r="F178" t="inlineStr">
        <is>
          <t>VÄSTRA GÖTALANDS LÄN</t>
        </is>
      </c>
      <c r="G178" t="inlineStr">
        <is>
          <t>TÖREBODA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46254</v>
      </c>
      <c r="F179" t="inlineStr">
        <is>
          <t>VÄSTRA GÖTALANDS LÄN</t>
        </is>
      </c>
      <c r="G179" t="inlineStr">
        <is>
          <t>TÖREBODA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46254</v>
      </c>
      <c r="F180" t="inlineStr">
        <is>
          <t>VÄSTRA GÖTALANDS LÄN</t>
        </is>
      </c>
      <c r="G180" t="inlineStr">
        <is>
          <t>TÖREBODA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46254</v>
      </c>
      <c r="F181" t="inlineStr">
        <is>
          <t>VÄSTRA GÖTALANDS LÄN</t>
        </is>
      </c>
      <c r="G181" t="inlineStr">
        <is>
          <t>TÖREBODA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46254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Övriga statliga verk och myndigheter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45096</v>
      </c>
      <c r="E183" s="1" t="n">
        <v>46254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Övriga statliga verk och myndigheter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46254</v>
      </c>
      <c r="F184" t="inlineStr">
        <is>
          <t>VÄSTRA GÖTALANDS LÄN</t>
        </is>
      </c>
      <c r="G184" t="inlineStr">
        <is>
          <t>TÖREBODA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45627</v>
      </c>
      <c r="E185" s="1" t="n">
        <v>46254</v>
      </c>
      <c r="F185" t="inlineStr">
        <is>
          <t>VÄSTRA GÖTALANDS LÄN</t>
        </is>
      </c>
      <c r="G185" t="inlineStr">
        <is>
          <t>TÖREBODA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46254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49171-2025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46254</v>
      </c>
      <c r="F187" t="inlineStr">
        <is>
          <t>VÄSTRA GÖTALANDS LÄN</t>
        </is>
      </c>
      <c r="G187" t="inlineStr">
        <is>
          <t>TÖREBODA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46254</v>
      </c>
      <c r="F188" t="inlineStr">
        <is>
          <t>VÄSTRA GÖTALANDS LÄN</t>
        </is>
      </c>
      <c r="G188" t="inlineStr">
        <is>
          <t>TÖREBODA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44792</v>
      </c>
      <c r="E189" s="1" t="n">
        <v>46254</v>
      </c>
      <c r="F189" t="inlineStr">
        <is>
          <t>VÄSTRA GÖTALANDS LÄN</t>
        </is>
      </c>
      <c r="G189" t="inlineStr">
        <is>
          <t>TÖREBODA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46254</v>
      </c>
      <c r="F190" t="inlineStr">
        <is>
          <t>VÄSTRA GÖTALANDS LÄN</t>
        </is>
      </c>
      <c r="G190" t="inlineStr">
        <is>
          <t>TÖREBODA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45322</v>
      </c>
      <c r="E191" s="1" t="n">
        <v>46254</v>
      </c>
      <c r="F191" t="inlineStr">
        <is>
          <t>VÄSTRA GÖTALANDS LÄN</t>
        </is>
      </c>
      <c r="G191" t="inlineStr">
        <is>
          <t>TÖREBODA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46254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11683-2024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45373</v>
      </c>
      <c r="E193" s="1" t="n">
        <v>46254</v>
      </c>
      <c r="F193" t="inlineStr">
        <is>
          <t>VÄSTRA GÖTALANDS LÄN</t>
        </is>
      </c>
      <c r="G193" t="inlineStr">
        <is>
          <t>TÖREBODA</t>
        </is>
      </c>
      <c r="I193" t="n">
        <v>23.8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46254</v>
      </c>
      <c r="F194" t="inlineStr">
        <is>
          <t>VÄSTRA GÖTALANDS LÄN</t>
        </is>
      </c>
      <c r="G194" t="inlineStr">
        <is>
          <t>TÖREBODA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46254</v>
      </c>
      <c r="F195" t="inlineStr">
        <is>
          <t>VÄSTRA GÖTALANDS LÄN</t>
        </is>
      </c>
      <c r="G195" t="inlineStr">
        <is>
          <t>TÖREBODA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44868</v>
      </c>
      <c r="E196" s="1" t="n">
        <v>46254</v>
      </c>
      <c r="F196" t="inlineStr">
        <is>
          <t>VÄSTRA GÖTALANDS LÄN</t>
        </is>
      </c>
      <c r="G196" t="inlineStr">
        <is>
          <t>TÖREBODA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46254</v>
      </c>
      <c r="F197" t="inlineStr">
        <is>
          <t>VÄSTRA GÖTALANDS LÄN</t>
        </is>
      </c>
      <c r="G197" t="inlineStr">
        <is>
          <t>TÖREBODA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45750</v>
      </c>
      <c r="E198" s="1" t="n">
        <v>46254</v>
      </c>
      <c r="F198" t="inlineStr">
        <is>
          <t>VÄSTRA GÖTALANDS LÄN</t>
        </is>
      </c>
      <c r="G198" t="inlineStr">
        <is>
          <t>TÖREBODA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46254</v>
      </c>
      <c r="F199" t="inlineStr">
        <is>
          <t>VÄSTRA GÖTALANDS LÄN</t>
        </is>
      </c>
      <c r="G199" t="inlineStr">
        <is>
          <t>TÖREBODA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45694</v>
      </c>
      <c r="E200" s="1" t="n">
        <v>46254</v>
      </c>
      <c r="F200" t="inlineStr">
        <is>
          <t>VÄSTRA GÖTALANDS LÄN</t>
        </is>
      </c>
      <c r="G200" t="inlineStr">
        <is>
          <t>TÖREBODA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45133</v>
      </c>
      <c r="E201" s="1" t="n">
        <v>46254</v>
      </c>
      <c r="F201" t="inlineStr">
        <is>
          <t>VÄSTRA GÖTALANDS LÄN</t>
        </is>
      </c>
      <c r="G201" t="inlineStr">
        <is>
          <t>TÖREBODA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45954</v>
      </c>
      <c r="E202" s="1" t="n">
        <v>46254</v>
      </c>
      <c r="F202" t="inlineStr">
        <is>
          <t>VÄSTRA GÖTALANDS LÄN</t>
        </is>
      </c>
      <c r="G202" t="inlineStr">
        <is>
          <t>TÖREBODA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46254</v>
      </c>
      <c r="F203" t="inlineStr">
        <is>
          <t>VÄSTRA GÖTALANDS LÄN</t>
        </is>
      </c>
      <c r="G203" t="inlineStr">
        <is>
          <t>TÖREBODA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46254</v>
      </c>
      <c r="F204" t="inlineStr">
        <is>
          <t>VÄSTRA GÖTALANDS LÄN</t>
        </is>
      </c>
      <c r="G204" t="inlineStr">
        <is>
          <t>TÖREBODA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54016-2025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46254</v>
      </c>
      <c r="F205" t="inlineStr">
        <is>
          <t>VÄSTRA GÖTALANDS LÄN</t>
        </is>
      </c>
      <c r="G205" t="inlineStr">
        <is>
          <t>TÖREBODA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46254</v>
      </c>
      <c r="F206" t="inlineStr">
        <is>
          <t>VÄSTRA GÖTALANDS LÄN</t>
        </is>
      </c>
      <c r="G206" t="inlineStr">
        <is>
          <t>TÖREBODA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44986</v>
      </c>
      <c r="E207" s="1" t="n">
        <v>46254</v>
      </c>
      <c r="F207" t="inlineStr">
        <is>
          <t>VÄSTRA GÖTALANDS LÄN</t>
        </is>
      </c>
      <c r="G207" t="inlineStr">
        <is>
          <t>TÖREBODA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45971</v>
      </c>
      <c r="E208" s="1" t="n">
        <v>46254</v>
      </c>
      <c r="F208" t="inlineStr">
        <is>
          <t>VÄSTRA GÖTALANDS LÄN</t>
        </is>
      </c>
      <c r="G208" t="inlineStr">
        <is>
          <t>TÖREBODA</t>
        </is>
      </c>
      <c r="I208" t="n">
        <v>20.8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45699</v>
      </c>
      <c r="E209" s="1" t="n">
        <v>46254</v>
      </c>
      <c r="F209" t="inlineStr">
        <is>
          <t>VÄSTRA GÖTALANDS LÄN</t>
        </is>
      </c>
      <c r="G209" t="inlineStr">
        <is>
          <t>TÖREBODA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45002</v>
      </c>
      <c r="E210" s="1" t="n">
        <v>46254</v>
      </c>
      <c r="F210" t="inlineStr">
        <is>
          <t>VÄSTRA GÖTALANDS LÄN</t>
        </is>
      </c>
      <c r="G210" t="inlineStr">
        <is>
          <t>TÖREBODA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46254</v>
      </c>
      <c r="F211" t="inlineStr">
        <is>
          <t>VÄSTRA GÖTALANDS LÄN</t>
        </is>
      </c>
      <c r="G211" t="inlineStr">
        <is>
          <t>TÖREBODA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46254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46254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Sveaskog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46254</v>
      </c>
      <c r="F214" t="inlineStr">
        <is>
          <t>VÄSTRA GÖTALANDS LÄN</t>
        </is>
      </c>
      <c r="G214" t="inlineStr">
        <is>
          <t>TÖREBODA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46254</v>
      </c>
      <c r="F215" t="inlineStr">
        <is>
          <t>VÄSTRA GÖTALANDS LÄN</t>
        </is>
      </c>
      <c r="G215" t="inlineStr">
        <is>
          <t>TÖREBODA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46254</v>
      </c>
      <c r="F216" t="inlineStr">
        <is>
          <t>VÄSTRA GÖTALANDS LÄN</t>
        </is>
      </c>
      <c r="G216" t="inlineStr">
        <is>
          <t>TÖREBODA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45972</v>
      </c>
      <c r="E217" s="1" t="n">
        <v>46254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46254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45556</v>
      </c>
      <c r="E219" s="1" t="n">
        <v>46254</v>
      </c>
      <c r="F219" t="inlineStr">
        <is>
          <t>VÄSTRA GÖTALANDS LÄN</t>
        </is>
      </c>
      <c r="G219" t="inlineStr">
        <is>
          <t>TÖREBODA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46254</v>
      </c>
      <c r="F220" t="inlineStr">
        <is>
          <t>VÄSTRA GÖTALANDS LÄN</t>
        </is>
      </c>
      <c r="G220" t="inlineStr">
        <is>
          <t>TÖREBODA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46254</v>
      </c>
      <c r="F221" t="inlineStr">
        <is>
          <t>VÄSTRA GÖTALANDS LÄN</t>
        </is>
      </c>
      <c r="G221" t="inlineStr">
        <is>
          <t>TÖREBODA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33715-2026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46251</v>
      </c>
      <c r="E222" s="1" t="n">
        <v>46254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45414</v>
      </c>
      <c r="E223" s="1" t="n">
        <v>46254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59440-2022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44907</v>
      </c>
      <c r="E224" s="1" t="n">
        <v>46254</v>
      </c>
      <c r="F224" t="inlineStr">
        <is>
          <t>VÄSTRA GÖTALANDS LÄN</t>
        </is>
      </c>
      <c r="G224" t="inlineStr">
        <is>
          <t>TÖREBODA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46254</v>
      </c>
      <c r="F225" t="inlineStr">
        <is>
          <t>VÄSTRA GÖTALANDS LÄN</t>
        </is>
      </c>
      <c r="G225" t="inlineStr">
        <is>
          <t>TÖREBODA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46254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46251</v>
      </c>
      <c r="E227" s="1" t="n">
        <v>46254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46254</v>
      </c>
      <c r="F228" t="inlineStr">
        <is>
          <t>VÄSTRA GÖTALANDS LÄN</t>
        </is>
      </c>
      <c r="G228" t="inlineStr">
        <is>
          <t>TÖREBODA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46254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46206</v>
      </c>
      <c r="E230" s="1" t="n">
        <v>46254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46248</v>
      </c>
      <c r="E231" s="1" t="n">
        <v>46254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46248</v>
      </c>
      <c r="E232" s="1" t="n">
        <v>46254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46248</v>
      </c>
      <c r="E233" s="1" t="n">
        <v>46254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45127</v>
      </c>
      <c r="E234" s="1" t="n">
        <v>46254</v>
      </c>
      <c r="F234" t="inlineStr">
        <is>
          <t>VÄSTRA GÖTALANDS LÄN</t>
        </is>
      </c>
      <c r="G234" t="inlineStr">
        <is>
          <t>TÖREBODA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46254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10.7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18687-2025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46254</v>
      </c>
      <c r="F236" t="inlineStr">
        <is>
          <t>VÄSTRA GÖTALANDS LÄN</t>
        </is>
      </c>
      <c r="G236" t="inlineStr">
        <is>
          <t>TÖREBODA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46254</v>
      </c>
      <c r="F237" t="inlineStr">
        <is>
          <t>VÄSTRA GÖTALANDS LÄN</t>
        </is>
      </c>
      <c r="G237" t="inlineStr">
        <is>
          <t>TÖREBODA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46254</v>
      </c>
      <c r="F238" t="inlineStr">
        <is>
          <t>VÄSTRA GÖTALANDS LÄN</t>
        </is>
      </c>
      <c r="G238" t="inlineStr">
        <is>
          <t>TÖREBODA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46254</v>
      </c>
      <c r="F239" t="inlineStr">
        <is>
          <t>VÄSTRA GÖTALANDS LÄN</t>
        </is>
      </c>
      <c r="G239" t="inlineStr">
        <is>
          <t>TÖREBODA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46254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45552</v>
      </c>
      <c r="E241" s="1" t="n">
        <v>46254</v>
      </c>
      <c r="F241" t="inlineStr">
        <is>
          <t>VÄSTRA GÖTALANDS LÄN</t>
        </is>
      </c>
      <c r="G241" t="inlineStr">
        <is>
          <t>TÖREBODA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46254</v>
      </c>
      <c r="F242" t="inlineStr">
        <is>
          <t>VÄSTRA GÖTALANDS LÄN</t>
        </is>
      </c>
      <c r="G242" t="inlineStr">
        <is>
          <t>TÖREBODA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46254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Övriga Aktiebolag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44903</v>
      </c>
      <c r="E244" s="1" t="n">
        <v>46254</v>
      </c>
      <c r="F244" t="inlineStr">
        <is>
          <t>VÄSTRA GÖTALANDS LÄN</t>
        </is>
      </c>
      <c r="G244" t="inlineStr">
        <is>
          <t>TÖREBODA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45448</v>
      </c>
      <c r="E245" s="1" t="n">
        <v>46254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statliga verk och myndigheter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44782</v>
      </c>
      <c r="E246" s="1" t="n">
        <v>46254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46254</v>
      </c>
      <c r="F247" t="inlineStr">
        <is>
          <t>VÄSTRA GÖTALANDS LÄN</t>
        </is>
      </c>
      <c r="G247" t="inlineStr">
        <is>
          <t>TÖREBODA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46254</v>
      </c>
      <c r="F248" t="inlineStr">
        <is>
          <t>VÄSTRA GÖTALANDS LÄN</t>
        </is>
      </c>
      <c r="G248" t="inlineStr">
        <is>
          <t>TÖREBODA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46254</v>
      </c>
      <c r="F249" t="inlineStr">
        <is>
          <t>VÄSTRA GÖTALANDS LÄN</t>
        </is>
      </c>
      <c r="G249" t="inlineStr">
        <is>
          <t>TÖREBODA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46254</v>
      </c>
      <c r="F250" t="inlineStr">
        <is>
          <t>VÄSTRA GÖTALANDS LÄN</t>
        </is>
      </c>
      <c r="G250" t="inlineStr">
        <is>
          <t>TÖREBODA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4194-2024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45324</v>
      </c>
      <c r="E251" s="1" t="n">
        <v>46254</v>
      </c>
      <c r="F251" t="inlineStr">
        <is>
          <t>VÄSTRA GÖTALANDS LÄN</t>
        </is>
      </c>
      <c r="G251" t="inlineStr">
        <is>
          <t>TÖREBODA</t>
        </is>
      </c>
      <c r="I251" t="n">
        <v>28.9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44483</v>
      </c>
      <c r="E252" s="1" t="n">
        <v>46254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46078</v>
      </c>
      <c r="E253" s="1" t="n">
        <v>46254</v>
      </c>
      <c r="F253" t="inlineStr">
        <is>
          <t>VÄSTRA GÖTALANDS LÄN</t>
        </is>
      </c>
      <c r="G253" t="inlineStr">
        <is>
          <t>TÖREBODA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46254</v>
      </c>
      <c r="F254" t="inlineStr">
        <is>
          <t>VÄSTRA GÖTALANDS LÄN</t>
        </is>
      </c>
      <c r="G254" t="inlineStr">
        <is>
          <t>TÖREBODA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46254</v>
      </c>
      <c r="F255" t="inlineStr">
        <is>
          <t>VÄSTRA GÖTALANDS LÄN</t>
        </is>
      </c>
      <c r="G255" t="inlineStr">
        <is>
          <t>TÖREBODA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41627-2022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44827</v>
      </c>
      <c r="E256" s="1" t="n">
        <v>46254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41632-2022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44827</v>
      </c>
      <c r="E257" s="1" t="n">
        <v>46254</v>
      </c>
      <c r="F257" t="inlineStr">
        <is>
          <t>VÄSTRA GÖTALANDS LÄN</t>
        </is>
      </c>
      <c r="G257" t="inlineStr">
        <is>
          <t>TÖREBODA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46254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Kyrkan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46254</v>
      </c>
      <c r="F259" t="inlineStr">
        <is>
          <t>VÄSTRA GÖTALANDS LÄN</t>
        </is>
      </c>
      <c r="G259" t="inlineStr">
        <is>
          <t>TÖREBODA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46254</v>
      </c>
      <c r="F260" t="inlineStr">
        <is>
          <t>VÄSTRA GÖTALANDS LÄN</t>
        </is>
      </c>
      <c r="G260" t="inlineStr">
        <is>
          <t>TÖREBODA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62781-2023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46254</v>
      </c>
      <c r="F261" t="inlineStr">
        <is>
          <t>VÄSTRA GÖTALANDS LÄN</t>
        </is>
      </c>
      <c r="G261" t="inlineStr">
        <is>
          <t>TÖREBODA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45328</v>
      </c>
      <c r="E262" s="1" t="n">
        <v>46254</v>
      </c>
      <c r="F262" t="inlineStr">
        <is>
          <t>VÄSTRA GÖTALANDS LÄN</t>
        </is>
      </c>
      <c r="G262" t="inlineStr">
        <is>
          <t>TÖREBODA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46254</v>
      </c>
      <c r="F263" t="inlineStr">
        <is>
          <t>VÄSTRA GÖTALANDS LÄN</t>
        </is>
      </c>
      <c r="G263" t="inlineStr">
        <is>
          <t>TÖREBODA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46254</v>
      </c>
      <c r="F264" t="inlineStr">
        <is>
          <t>VÄSTRA GÖTALANDS LÄN</t>
        </is>
      </c>
      <c r="G264" t="inlineStr">
        <is>
          <t>TÖREBODA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46254</v>
      </c>
      <c r="F265" t="inlineStr">
        <is>
          <t>VÄSTRA GÖTALANDS LÄN</t>
        </is>
      </c>
      <c r="G265" t="inlineStr">
        <is>
          <t>TÖREBODA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15567-2026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46106</v>
      </c>
      <c r="E266" s="1" t="n">
        <v>46254</v>
      </c>
      <c r="F266" t="inlineStr">
        <is>
          <t>VÄSTRA GÖTALANDS LÄN</t>
        </is>
      </c>
      <c r="G266" t="inlineStr">
        <is>
          <t>TÖREBODA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46254</v>
      </c>
      <c r="F267" t="inlineStr">
        <is>
          <t>VÄSTRA GÖTALANDS LÄN</t>
        </is>
      </c>
      <c r="G267" t="inlineStr">
        <is>
          <t>TÖREBODA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46254</v>
      </c>
      <c r="F268" t="inlineStr">
        <is>
          <t>VÄSTRA GÖTALANDS LÄN</t>
        </is>
      </c>
      <c r="G268" t="inlineStr">
        <is>
          <t>TÖREBODA</t>
        </is>
      </c>
      <c r="I268" t="n">
        <v>49.4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46254</v>
      </c>
      <c r="F269" t="inlineStr">
        <is>
          <t>VÄSTRA GÖTALANDS LÄN</t>
        </is>
      </c>
      <c r="G269" t="inlineStr">
        <is>
          <t>TÖREBODA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46254</v>
      </c>
      <c r="F270" t="inlineStr">
        <is>
          <t>VÄSTRA GÖTALANDS LÄN</t>
        </is>
      </c>
      <c r="G270" t="inlineStr">
        <is>
          <t>TÖREBODA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46254</v>
      </c>
      <c r="F271" t="inlineStr">
        <is>
          <t>VÄSTRA GÖTALANDS LÄN</t>
        </is>
      </c>
      <c r="G271" t="inlineStr">
        <is>
          <t>TÖREBODA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46254</v>
      </c>
      <c r="F272" t="inlineStr">
        <is>
          <t>VÄSTRA GÖTALANDS LÄN</t>
        </is>
      </c>
      <c r="G272" t="inlineStr">
        <is>
          <t>TÖREBODA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46254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Övriga statliga verk och myndigheter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46122</v>
      </c>
      <c r="E274" s="1" t="n">
        <v>46254</v>
      </c>
      <c r="F274" t="inlineStr">
        <is>
          <t>VÄSTRA GÖTALANDS LÄN</t>
        </is>
      </c>
      <c r="G274" t="inlineStr">
        <is>
          <t>TÖREBODA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46254</v>
      </c>
      <c r="F275" t="inlineStr">
        <is>
          <t>VÄSTRA GÖTALANDS LÄN</t>
        </is>
      </c>
      <c r="G275" t="inlineStr">
        <is>
          <t>TÖREBODA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19706-2026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46134</v>
      </c>
      <c r="E276" s="1" t="n">
        <v>46254</v>
      </c>
      <c r="F276" t="inlineStr">
        <is>
          <t>VÄSTRA GÖTALANDS LÄN</t>
        </is>
      </c>
      <c r="G276" t="inlineStr">
        <is>
          <t>TÖREBODA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28196-2022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44746</v>
      </c>
      <c r="E277" s="1" t="n">
        <v>46254</v>
      </c>
      <c r="F277" t="inlineStr">
        <is>
          <t>VÄSTRA GÖTALANDS LÄN</t>
        </is>
      </c>
      <c r="G277" t="inlineStr">
        <is>
          <t>TÖREBODA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19685-2026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46134</v>
      </c>
      <c r="E278" s="1" t="n">
        <v>46254</v>
      </c>
      <c r="F278" t="inlineStr">
        <is>
          <t>VÄSTRA GÖTALANDS LÄN</t>
        </is>
      </c>
      <c r="G278" t="inlineStr">
        <is>
          <t>TÖREBODA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45777</v>
      </c>
      <c r="E279" s="1" t="n">
        <v>46254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45581</v>
      </c>
      <c r="E280" s="1" t="n">
        <v>46254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11730-2025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45727</v>
      </c>
      <c r="E281" s="1" t="n">
        <v>46254</v>
      </c>
      <c r="F281" t="inlineStr">
        <is>
          <t>VÄSTRA GÖTALANDS LÄN</t>
        </is>
      </c>
      <c r="G281" t="inlineStr">
        <is>
          <t>TÖREBODA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46254</v>
      </c>
      <c r="F282" t="inlineStr">
        <is>
          <t>VÄSTRA GÖTALANDS LÄN</t>
        </is>
      </c>
      <c r="G282" t="inlineStr">
        <is>
          <t>TÖREBODA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46254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45730</v>
      </c>
      <c r="E284" s="1" t="n">
        <v>46254</v>
      </c>
      <c r="F284" t="inlineStr">
        <is>
          <t>VÄSTRA GÖTALANDS LÄN</t>
        </is>
      </c>
      <c r="G284" t="inlineStr">
        <is>
          <t>TÖREBODA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45493</v>
      </c>
      <c r="E285" s="1" t="n">
        <v>46254</v>
      </c>
      <c r="F285" t="inlineStr">
        <is>
          <t>VÄSTRA GÖTALANDS LÄN</t>
        </is>
      </c>
      <c r="G285" t="inlineStr">
        <is>
          <t>TÖREBODA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45394</v>
      </c>
      <c r="E286" s="1" t="n">
        <v>46254</v>
      </c>
      <c r="F286" t="inlineStr">
        <is>
          <t>VÄSTRA GÖTALANDS LÄN</t>
        </is>
      </c>
      <c r="G286" t="inlineStr">
        <is>
          <t>TÖREBODA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46254</v>
      </c>
      <c r="F287" t="inlineStr">
        <is>
          <t>VÄSTRA GÖTALANDS LÄN</t>
        </is>
      </c>
      <c r="G287" t="inlineStr">
        <is>
          <t>TÖREBODA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48969-2023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46254</v>
      </c>
      <c r="F288" t="inlineStr">
        <is>
          <t>VÄSTRA GÖTALANDS LÄN</t>
        </is>
      </c>
      <c r="G288" t="inlineStr">
        <is>
          <t>TÖREBODA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46254</v>
      </c>
      <c r="F289" t="inlineStr">
        <is>
          <t>VÄSTRA GÖTALANDS LÄN</t>
        </is>
      </c>
      <c r="G289" t="inlineStr">
        <is>
          <t>TÖREBODA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43559-2024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45569</v>
      </c>
      <c r="E290" s="1" t="n">
        <v>46254</v>
      </c>
      <c r="F290" t="inlineStr">
        <is>
          <t>VÄSTRA GÖTALANDS LÄN</t>
        </is>
      </c>
      <c r="G290" t="inlineStr">
        <is>
          <t>TÖREBODA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46254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Kyrkan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46254</v>
      </c>
      <c r="F292" t="inlineStr">
        <is>
          <t>VÄSTRA GÖTALANDS LÄN</t>
        </is>
      </c>
      <c r="G292" t="inlineStr">
        <is>
          <t>TÖREBODA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26941-2025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45811</v>
      </c>
      <c r="E293" s="1" t="n">
        <v>46254</v>
      </c>
      <c r="F293" t="inlineStr">
        <is>
          <t>VÄSTRA GÖTALANDS LÄN</t>
        </is>
      </c>
      <c r="G293" t="inlineStr">
        <is>
          <t>TÖREBODA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46254</v>
      </c>
      <c r="F294" t="inlineStr">
        <is>
          <t>VÄSTRA GÖTALANDS LÄN</t>
        </is>
      </c>
      <c r="G294" t="inlineStr">
        <is>
          <t>TÖREBODA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46254</v>
      </c>
      <c r="F295" t="inlineStr">
        <is>
          <t>VÄSTRA GÖTALANDS LÄN</t>
        </is>
      </c>
      <c r="G295" t="inlineStr">
        <is>
          <t>TÖREBODA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46254</v>
      </c>
      <c r="F296" t="inlineStr">
        <is>
          <t>VÄSTRA GÖTALANDS LÄN</t>
        </is>
      </c>
      <c r="G296" t="inlineStr">
        <is>
          <t>TÖREBODA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45763</v>
      </c>
      <c r="E297" s="1" t="n">
        <v>46254</v>
      </c>
      <c r="F297" t="inlineStr">
        <is>
          <t>VÄSTRA GÖTALANDS LÄN</t>
        </is>
      </c>
      <c r="G297" t="inlineStr">
        <is>
          <t>TÖREBODA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46254</v>
      </c>
      <c r="F298" t="inlineStr">
        <is>
          <t>VÄSTRA GÖTALANDS LÄN</t>
        </is>
      </c>
      <c r="G298" t="inlineStr">
        <is>
          <t>TÖREBODA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46254</v>
      </c>
      <c r="F299" t="inlineStr">
        <is>
          <t>VÄSTRA GÖTALANDS LÄN</t>
        </is>
      </c>
      <c r="G299" t="inlineStr">
        <is>
          <t>TÖREBODA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45835</v>
      </c>
      <c r="E300" s="1" t="n">
        <v>46254</v>
      </c>
      <c r="F300" t="inlineStr">
        <is>
          <t>VÄSTRA GÖTALANDS LÄN</t>
        </is>
      </c>
      <c r="G300" t="inlineStr">
        <is>
          <t>TÖREBODA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46254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Övriga statliga verk och myndigheter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46254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Övriga statliga verk och myndigheter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45841</v>
      </c>
      <c r="E303" s="1" t="n">
        <v>46254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46254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Övriga statliga verk och myndigheter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46254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Övriga statliga verk och myndigheter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46254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Övriga statliga verk och myndigheter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46254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46254</v>
      </c>
      <c r="F308" t="inlineStr">
        <is>
          <t>VÄSTRA GÖTALANDS LÄN</t>
        </is>
      </c>
      <c r="G308" t="inlineStr">
        <is>
          <t>TÖREBODA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46254</v>
      </c>
      <c r="F309" t="inlineStr">
        <is>
          <t>VÄSTRA GÖTALANDS LÄN</t>
        </is>
      </c>
      <c r="G309" t="inlineStr">
        <is>
          <t>TÖREBODA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14550-2025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45741</v>
      </c>
      <c r="E310" s="1" t="n">
        <v>46254</v>
      </c>
      <c r="F310" t="inlineStr">
        <is>
          <t>VÄSTRA GÖTALANDS LÄN</t>
        </is>
      </c>
      <c r="G310" t="inlineStr">
        <is>
          <t>TÖREBODA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46254</v>
      </c>
      <c r="F311" t="inlineStr">
        <is>
          <t>VÄSTRA GÖTALANDS LÄN</t>
        </is>
      </c>
      <c r="G311" t="inlineStr">
        <is>
          <t>TÖREBODA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45685</v>
      </c>
      <c r="E312" s="1" t="n">
        <v>46254</v>
      </c>
      <c r="F312" t="inlineStr">
        <is>
          <t>VÄSTRA GÖTALANDS LÄN</t>
        </is>
      </c>
      <c r="G312" t="inlineStr">
        <is>
          <t>TÖREBODA</t>
        </is>
      </c>
      <c r="I312" t="n">
        <v>186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671-2025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46254</v>
      </c>
      <c r="F313" t="inlineStr">
        <is>
          <t>VÄSTRA GÖTALANDS LÄN</t>
        </is>
      </c>
      <c r="G313" t="inlineStr">
        <is>
          <t>TÖREBODA</t>
        </is>
      </c>
      <c r="I313" t="n">
        <v>56.1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670-2025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45716</v>
      </c>
      <c r="E314" s="1" t="n">
        <v>46254</v>
      </c>
      <c r="F314" t="inlineStr">
        <is>
          <t>VÄSTRA GÖTALANDS LÄN</t>
        </is>
      </c>
      <c r="G314" t="inlineStr">
        <is>
          <t>TÖREBODA</t>
        </is>
      </c>
      <c r="I314" t="n">
        <v>23.4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178-2026</t>
        </is>
      </c>
      <c r="B315" t="inlineStr">
        <is>
          <t>samrådsanmälan</t>
        </is>
      </c>
      <c r="C315" t="inlineStr">
        <is>
          <t>Skogsgödsling</t>
        </is>
      </c>
      <c r="D315" s="1" t="n">
        <v>46045</v>
      </c>
      <c r="E315" s="1" t="n">
        <v>46254</v>
      </c>
      <c r="F315" t="inlineStr">
        <is>
          <t>VÄSTRA GÖTALANDS LÄN</t>
        </is>
      </c>
      <c r="G315" t="inlineStr">
        <is>
          <t>TÖREBODA</t>
        </is>
      </c>
      <c r="I315" t="n">
        <v>12.5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2026-08-20T01:49:54Z</dcterms:created>
  <dcterms:modified xmlns:dcterms="http://purl.org/dc/terms/" xmlns:xsi="http://www.w3.org/2001/XMLSchema-instance" xsi:type="dcterms:W3CDTF">2026-08-20T01:49:55Z</dcterms:modified>
</cp:coreProperties>
</file>