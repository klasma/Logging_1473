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46275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46275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46275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46275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46275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46275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46275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46275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46275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46275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46275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46275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46275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46275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46275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46275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46275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55174-2024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45621</v>
      </c>
      <c r="E19" s="1" t="n">
        <v>46275</v>
      </c>
      <c r="F19" t="inlineStr">
        <is>
          <t>VÄSTRA GÖTALANDS LÄN</t>
        </is>
      </c>
      <c r="G19" t="inlineStr">
        <is>
          <t>TÖREBODA</t>
        </is>
      </c>
      <c r="I19" t="n">
        <v>5.4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Västlig hakmossa</t>
        </is>
      </c>
      <c r="W19">
        <f>HYPERLINK("https://klasma.github.io/Logging_1473/artfynd/A 55174-2024 artfynd.xlsx", "A 55174-2024")</f>
        <v/>
      </c>
      <c r="X19">
        <f>HYPERLINK("https://klasma.github.io/Logging_1473/kartor/A 55174-2024 karta.png", "A 55174-2024")</f>
        <v/>
      </c>
      <c r="Y19">
        <f>HYPERLINK("https://klasma.github.io/Logging_1473/kartor_geotiff/A 55174-2024 georefererad karta.tif", "A 55174-2024")</f>
        <v/>
      </c>
      <c r="AA19">
        <f>HYPERLINK("https://klasma.github.io/Logging_1473/klagomål/A 55174-2024 FSC-klagomål.docx", "A 55174-2024")</f>
        <v/>
      </c>
      <c r="AB19">
        <f>HYPERLINK("https://klasma.github.io/Logging_1473/klagomålsmail/A 55174-2024 FSC-klagomål mail.docx", "A 55174-2024")</f>
        <v/>
      </c>
      <c r="AC19">
        <f>HYPERLINK("https://klasma.github.io/Logging_1473/tillsyn/A 55174-2024 tillsynsbegäran.docx", "A 55174-2024")</f>
        <v/>
      </c>
      <c r="AD19">
        <f>HYPERLINK("https://klasma.github.io/Logging_1473/tillsynsmail/A 55174-2024 tillsynsbegäran mail.docx", "A 55174-2024")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46275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46275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39894-2023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46275</v>
      </c>
      <c r="F22" t="inlineStr">
        <is>
          <t>VÄSTRA GÖTALANDS LÄN</t>
        </is>
      </c>
      <c r="G22" t="inlineStr">
        <is>
          <t>TÖREBODA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Nattskärra</t>
        </is>
      </c>
      <c r="W22">
        <f>HYPERLINK("https://klasma.github.io/Logging_1473/artfynd/A 39894-2023 artfynd.xlsx", "A 39894-2023")</f>
        <v/>
      </c>
      <c r="X22">
        <f>HYPERLINK("https://klasma.github.io/Logging_1473/kartor/A 39894-2023 karta.png", "A 39894-2023")</f>
        <v/>
      </c>
      <c r="Y22">
        <f>HYPERLINK("https://klasma.github.io/Logging_1473/kartor_geotiff/A 39894-2023 georefererad karta.tif", "A 39894-2023")</f>
        <v/>
      </c>
      <c r="AA22">
        <f>HYPERLINK("https://klasma.github.io/Logging_1473/klagomål/A 39894-2023 FSC-klagomål.docx", "A 39894-2023")</f>
        <v/>
      </c>
      <c r="AB22">
        <f>HYPERLINK("https://klasma.github.io/Logging_1473/klagomålsmail/A 39894-2023 FSC-klagomål mail.docx", "A 39894-2023")</f>
        <v/>
      </c>
      <c r="AC22">
        <f>HYPERLINK("https://klasma.github.io/Logging_1473/tillsyn/A 39894-2023 tillsynsbegäran.docx", "A 39894-2023")</f>
        <v/>
      </c>
      <c r="AD22">
        <f>HYPERLINK("https://klasma.github.io/Logging_1473/tillsynsmail/A 39894-2023 tillsynsbegäran mail.docx", "A 39894-2023")</f>
        <v/>
      </c>
      <c r="AE22">
        <f>HYPERLINK("https://klasma.github.io/Logging_1473/fåglar/A 39894-2023 prioriterade fågelarter.docx", "A 39894-2023")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46275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12168-2025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46275</v>
      </c>
      <c r="F24" t="inlineStr">
        <is>
          <t>VÄSTRA GÖTALANDS LÄN</t>
        </is>
      </c>
      <c r="G24" t="inlineStr">
        <is>
          <t>TÖREBODA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HYPERLINK("https://klasma.github.io/Logging_1473/artfynd/A 12168-2025 artfynd.xlsx", "A 12168-2025")</f>
        <v/>
      </c>
      <c r="X24">
        <f>HYPERLINK("https://klasma.github.io/Logging_1473/kartor/A 12168-2025 karta.png", "A 12168-2025")</f>
        <v/>
      </c>
      <c r="Y24">
        <f>HYPERLINK("https://klasma.github.io/Logging_1473/kartor_geotiff/A 12168-2025 georefererad karta.tif", "A 12168-2025")</f>
        <v/>
      </c>
      <c r="AA24">
        <f>HYPERLINK("https://klasma.github.io/Logging_1473/klagomål/A 12168-2025 FSC-klagomål.docx", "A 12168-2025")</f>
        <v/>
      </c>
      <c r="AB24">
        <f>HYPERLINK("https://klasma.github.io/Logging_1473/klagomålsmail/A 12168-2025 FSC-klagomål mail.docx", "A 12168-2025")</f>
        <v/>
      </c>
      <c r="AC24">
        <f>HYPERLINK("https://klasma.github.io/Logging_1473/tillsyn/A 12168-2025 tillsynsbegäran.docx", "A 12168-2025")</f>
        <v/>
      </c>
      <c r="AD24">
        <f>HYPERLINK("https://klasma.github.io/Logging_1473/tillsynsmail/A 12168-2025 tillsynsbegäran mail.docx", "A 12168-2025")</f>
        <v/>
      </c>
      <c r="AE24">
        <f>HYPERLINK("https://klasma.github.io/Logging_1473/fåglar/A 12168-2025 prioriterade fågelarter.docx", "A 12168-2025")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46275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17540-2025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45757</v>
      </c>
      <c r="E26" s="1" t="n">
        <v>46275</v>
      </c>
      <c r="F26" t="inlineStr">
        <is>
          <t>VÄSTRA GÖTALANDS LÄN</t>
        </is>
      </c>
      <c r="G26" t="inlineStr">
        <is>
          <t>TÖREBODA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Vattenfladdermus</t>
        </is>
      </c>
      <c r="W26">
        <f>HYPERLINK("https://klasma.github.io/Logging_1473/artfynd/A 17540-2025 artfynd.xlsx", "A 17540-2025")</f>
        <v/>
      </c>
      <c r="X26">
        <f>HYPERLINK("https://klasma.github.io/Logging_1473/kartor/A 17540-2025 karta.png", "A 17540-2025")</f>
        <v/>
      </c>
      <c r="Y26">
        <f>HYPERLINK("https://klasma.github.io/Logging_1473/kartor_geotiff/A 17540-2025 georefererad karta.tif", "A 17540-2025")</f>
        <v/>
      </c>
      <c r="AA26">
        <f>HYPERLINK("https://klasma.github.io/Logging_1473/klagomål/A 17540-2025 FSC-klagomål.docx", "A 17540-2025")</f>
        <v/>
      </c>
      <c r="AB26">
        <f>HYPERLINK("https://klasma.github.io/Logging_1473/klagomålsmail/A 17540-2025 FSC-klagomål mail.docx", "A 17540-2025")</f>
        <v/>
      </c>
      <c r="AC26">
        <f>HYPERLINK("https://klasma.github.io/Logging_1473/tillsyn/A 17540-2025 tillsynsbegäran.docx", "A 17540-2025")</f>
        <v/>
      </c>
      <c r="AD26">
        <f>HYPERLINK("https://klasma.github.io/Logging_1473/tillsynsmail/A 17540-2025 tillsynsbegäran mail.docx", "A 17540-2025")</f>
        <v/>
      </c>
    </row>
    <row r="27" ht="15" customHeight="1">
      <c r="A27" t="inlineStr">
        <is>
          <t>A 9985-2023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44985</v>
      </c>
      <c r="E27" s="1" t="n">
        <v>46275</v>
      </c>
      <c r="F27" t="inlineStr">
        <is>
          <t>VÄSTRA GÖTALANDS LÄN</t>
        </is>
      </c>
      <c r="G27" t="inlineStr">
        <is>
          <t>TÖREBODA</t>
        </is>
      </c>
      <c r="I27" t="n">
        <v>5.5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HYPERLINK("https://klasma.github.io/Logging_1473/artfynd/A 9985-2023 artfynd.xlsx", "A 9985-2023")</f>
        <v/>
      </c>
      <c r="X27">
        <f>HYPERLINK("https://klasma.github.io/Logging_1473/kartor/A 9985-2023 karta.png", "A 9985-2023")</f>
        <v/>
      </c>
      <c r="Y27">
        <f>HYPERLINK("https://klasma.github.io/Logging_1473/kartor_geotiff/A 9985-2023 georefererad karta.tif", "A 9985-2023")</f>
        <v/>
      </c>
      <c r="AA27">
        <f>HYPERLINK("https://klasma.github.io/Logging_1473/klagomål/A 9985-2023 FSC-klagomål.docx", "A 9985-2023")</f>
        <v/>
      </c>
      <c r="AB27">
        <f>HYPERLINK("https://klasma.github.io/Logging_1473/klagomålsmail/A 9985-2023 FSC-klagomål mail.docx", "A 9985-2023")</f>
        <v/>
      </c>
      <c r="AC27">
        <f>HYPERLINK("https://klasma.github.io/Logging_1473/tillsyn/A 9985-2023 tillsynsbegäran.docx", "A 9985-2023")</f>
        <v/>
      </c>
      <c r="AD27">
        <f>HYPERLINK("https://klasma.github.io/Logging_1473/tillsynsmail/A 9985-2023 tillsynsbegäran mail.docx", "A 9985-2023")</f>
        <v/>
      </c>
    </row>
    <row r="28" ht="15" customHeight="1">
      <c r="A28" t="inlineStr">
        <is>
          <t>A 14755-2025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46275</v>
      </c>
      <c r="F28" t="inlineStr">
        <is>
          <t>VÄSTRA GÖTALANDS LÄN</t>
        </is>
      </c>
      <c r="G28" t="inlineStr">
        <is>
          <t>TÖREBODA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Mattlummer</t>
        </is>
      </c>
      <c r="W28">
        <f>HYPERLINK("https://klasma.github.io/Logging_1473/artfynd/A 14755-2025 artfynd.xlsx", "A 14755-2025")</f>
        <v/>
      </c>
      <c r="X28">
        <f>HYPERLINK("https://klasma.github.io/Logging_1473/kartor/A 14755-2025 karta.png", "A 14755-2025")</f>
        <v/>
      </c>
      <c r="Y28">
        <f>HYPERLINK("https://klasma.github.io/Logging_1473/kartor_geotiff/A 14755-2025 georefererad karta.tif", "A 14755-2025")</f>
        <v/>
      </c>
      <c r="AA28">
        <f>HYPERLINK("https://klasma.github.io/Logging_1473/klagomål/A 14755-2025 FSC-klagomål.docx", "A 14755-2025")</f>
        <v/>
      </c>
      <c r="AB28">
        <f>HYPERLINK("https://klasma.github.io/Logging_1473/klagomålsmail/A 14755-2025 FSC-klagomål mail.docx", "A 14755-2025")</f>
        <v/>
      </c>
      <c r="AC28">
        <f>HYPERLINK("https://klasma.github.io/Logging_1473/tillsyn/A 14755-2025 tillsynsbegäran.docx", "A 14755-2025")</f>
        <v/>
      </c>
      <c r="AD28">
        <f>HYPERLINK("https://klasma.github.io/Logging_1473/tillsynsmail/A 14755-2025 tillsynsbegäran mail.docx", "A 14755-2025")</f>
        <v/>
      </c>
    </row>
    <row r="29" ht="15" customHeight="1">
      <c r="A29" t="inlineStr">
        <is>
          <t>A 49169-2025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45938</v>
      </c>
      <c r="E29" s="1" t="n">
        <v>46275</v>
      </c>
      <c r="F29" t="inlineStr">
        <is>
          <t>VÄSTRA GÖTALANDS LÄN</t>
        </is>
      </c>
      <c r="G29" t="inlineStr">
        <is>
          <t>TÖREBODA</t>
        </is>
      </c>
      <c r="I29" t="n">
        <v>4.5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49169-2025 artfynd.xlsx", "A 49169-2025")</f>
        <v/>
      </c>
      <c r="X29">
        <f>HYPERLINK("https://klasma.github.io/Logging_1473/kartor/A 49169-2025 karta.png", "A 49169-2025")</f>
        <v/>
      </c>
      <c r="Y29">
        <f>HYPERLINK("https://klasma.github.io/Logging_1473/kartor_geotiff/A 49169-2025 georefererad karta.tif", "A 49169-2025")</f>
        <v/>
      </c>
      <c r="AA29">
        <f>HYPERLINK("https://klasma.github.io/Logging_1473/klagomål/A 49169-2025 FSC-klagomål.docx", "A 49169-2025")</f>
        <v/>
      </c>
      <c r="AB29">
        <f>HYPERLINK("https://klasma.github.io/Logging_1473/klagomålsmail/A 49169-2025 FSC-klagomål mail.docx", "A 49169-2025")</f>
        <v/>
      </c>
      <c r="AC29">
        <f>HYPERLINK("https://klasma.github.io/Logging_1473/tillsyn/A 49169-2025 tillsynsbegäran.docx", "A 49169-2025")</f>
        <v/>
      </c>
      <c r="AD29">
        <f>HYPERLINK("https://klasma.github.io/Logging_1473/tillsynsmail/A 49169-2025 tillsynsbegäran mail.docx", "A 49169-2025")</f>
        <v/>
      </c>
      <c r="AE29">
        <f>HYPERLINK("https://klasma.github.io/Logging_1473/fåglar/A 49169-2025 prioriterade fågelarter.docx", "A 49169-2025")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46275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46275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46275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46275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46275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46275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46275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46275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46275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46275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46275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46275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46275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46275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46275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46275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46275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46275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46275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46275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46275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46275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62339-2021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46275</v>
      </c>
      <c r="F52" t="inlineStr">
        <is>
          <t>VÄSTRA GÖTALANDS LÄN</t>
        </is>
      </c>
      <c r="G52" t="inlineStr">
        <is>
          <t>TÖREBODA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46275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46275</v>
      </c>
      <c r="F54" t="inlineStr">
        <is>
          <t>VÄSTRA GÖTALANDS LÄN</t>
        </is>
      </c>
      <c r="G54" t="inlineStr">
        <is>
          <t>TÖREBODA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46275</v>
      </c>
      <c r="F55" t="inlineStr">
        <is>
          <t>VÄSTRA GÖTALANDS LÄN</t>
        </is>
      </c>
      <c r="G55" t="inlineStr">
        <is>
          <t>TÖREBODA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46275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46275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46275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46275</v>
      </c>
      <c r="F59" t="inlineStr">
        <is>
          <t>VÄSTRA GÖTALANDS LÄN</t>
        </is>
      </c>
      <c r="G59" t="inlineStr">
        <is>
          <t>TÖREBODA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46275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46275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46275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46275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45460</v>
      </c>
      <c r="E64" s="1" t="n">
        <v>46275</v>
      </c>
      <c r="F64" t="inlineStr">
        <is>
          <t>VÄSTRA GÖTALANDS LÄN</t>
        </is>
      </c>
      <c r="G64" t="inlineStr">
        <is>
          <t>TÖREBODA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11680-2024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45373</v>
      </c>
      <c r="E65" s="1" t="n">
        <v>46275</v>
      </c>
      <c r="F65" t="inlineStr">
        <is>
          <t>VÄSTRA GÖTALANDS LÄN</t>
        </is>
      </c>
      <c r="G65" t="inlineStr">
        <is>
          <t>TÖREBODA</t>
        </is>
      </c>
      <c r="I65" t="n">
        <v>12.3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22048-2024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45443</v>
      </c>
      <c r="E66" s="1" t="n">
        <v>46275</v>
      </c>
      <c r="F66" t="inlineStr">
        <is>
          <t>VÄSTRA GÖTALANDS LÄN</t>
        </is>
      </c>
      <c r="G66" t="inlineStr">
        <is>
          <t>TÖREBODA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46275</v>
      </c>
      <c r="F67" t="inlineStr">
        <is>
          <t>VÄSTRA GÖTALANDS LÄN</t>
        </is>
      </c>
      <c r="G67" t="inlineStr">
        <is>
          <t>TÖREBODA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45699</v>
      </c>
      <c r="E68" s="1" t="n">
        <v>46275</v>
      </c>
      <c r="F68" t="inlineStr">
        <is>
          <t>VÄSTRA GÖTALANDS LÄN</t>
        </is>
      </c>
      <c r="G68" t="inlineStr">
        <is>
          <t>TÖREBODA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46275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Kommuner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44782</v>
      </c>
      <c r="E70" s="1" t="n">
        <v>46275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44986</v>
      </c>
      <c r="E71" s="1" t="n">
        <v>46275</v>
      </c>
      <c r="F71" t="inlineStr">
        <is>
          <t>VÄSTRA GÖTALANDS LÄN</t>
        </is>
      </c>
      <c r="G71" t="inlineStr">
        <is>
          <t>TÖREBODA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46275</v>
      </c>
      <c r="F72" t="inlineStr">
        <is>
          <t>VÄSTRA GÖTALANDS LÄN</t>
        </is>
      </c>
      <c r="G72" t="inlineStr">
        <is>
          <t>TÖREBODA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44756</v>
      </c>
      <c r="E73" s="1" t="n">
        <v>46275</v>
      </c>
      <c r="F73" t="inlineStr">
        <is>
          <t>VÄSTRA GÖTALANDS LÄN</t>
        </is>
      </c>
      <c r="G73" t="inlineStr">
        <is>
          <t>TÖREBODA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45457</v>
      </c>
      <c r="E74" s="1" t="n">
        <v>46275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Övriga statliga verk och myndigheter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44868</v>
      </c>
      <c r="E75" s="1" t="n">
        <v>46275</v>
      </c>
      <c r="F75" t="inlineStr">
        <is>
          <t>VÄSTRA GÖTALANDS LÄN</t>
        </is>
      </c>
      <c r="G75" t="inlineStr">
        <is>
          <t>TÖREBODA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46275</v>
      </c>
      <c r="F76" t="inlineStr">
        <is>
          <t>VÄSTRA GÖTALANDS LÄN</t>
        </is>
      </c>
      <c r="G76" t="inlineStr">
        <is>
          <t>TÖREBODA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46275</v>
      </c>
      <c r="F77" t="inlineStr">
        <is>
          <t>VÄSTRA GÖTALANDS LÄN</t>
        </is>
      </c>
      <c r="G77" t="inlineStr">
        <is>
          <t>TÖREBODA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10833-2024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46275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46275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46275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45209</v>
      </c>
      <c r="E81" s="1" t="n">
        <v>46275</v>
      </c>
      <c r="F81" t="inlineStr">
        <is>
          <t>VÄSTRA GÖTALANDS LÄN</t>
        </is>
      </c>
      <c r="G81" t="inlineStr">
        <is>
          <t>TÖREBODA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45341</v>
      </c>
      <c r="E82" s="1" t="n">
        <v>46275</v>
      </c>
      <c r="F82" t="inlineStr">
        <is>
          <t>VÄSTRA GÖTALANDS LÄN</t>
        </is>
      </c>
      <c r="G82" t="inlineStr">
        <is>
          <t>TÖREBODA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46275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11683-2024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45373</v>
      </c>
      <c r="E84" s="1" t="n">
        <v>46275</v>
      </c>
      <c r="F84" t="inlineStr">
        <is>
          <t>VÄSTRA GÖTALANDS LÄN</t>
        </is>
      </c>
      <c r="G84" t="inlineStr">
        <is>
          <t>TÖREBODA</t>
        </is>
      </c>
      <c r="I84" t="n">
        <v>23.8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46275</v>
      </c>
      <c r="F85" t="inlineStr">
        <is>
          <t>VÄSTRA GÖTALANDS LÄN</t>
        </is>
      </c>
      <c r="G85" t="inlineStr">
        <is>
          <t>TÖREBODA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45607</v>
      </c>
      <c r="E86" s="1" t="n">
        <v>46275</v>
      </c>
      <c r="F86" t="inlineStr">
        <is>
          <t>VÄSTRA GÖTALANDS LÄN</t>
        </is>
      </c>
      <c r="G86" t="inlineStr">
        <is>
          <t>TÖREBODA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45236</v>
      </c>
      <c r="E87" s="1" t="n">
        <v>46275</v>
      </c>
      <c r="F87" t="inlineStr">
        <is>
          <t>VÄSTRA GÖTALANDS LÄN</t>
        </is>
      </c>
      <c r="G87" t="inlineStr">
        <is>
          <t>TÖREBODA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45056</v>
      </c>
      <c r="E88" s="1" t="n">
        <v>46275</v>
      </c>
      <c r="F88" t="inlineStr">
        <is>
          <t>VÄSTRA GÖTALANDS LÄN</t>
        </is>
      </c>
      <c r="G88" t="inlineStr">
        <is>
          <t>TÖREBODA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44741</v>
      </c>
      <c r="E89" s="1" t="n">
        <v>46275</v>
      </c>
      <c r="F89" t="inlineStr">
        <is>
          <t>VÄSTRA GÖTALANDS LÄN</t>
        </is>
      </c>
      <c r="G89" t="inlineStr">
        <is>
          <t>TÖREBODA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19874-2022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46275</v>
      </c>
      <c r="F90" t="inlineStr">
        <is>
          <t>VÄSTRA GÖTALANDS LÄN</t>
        </is>
      </c>
      <c r="G90" t="inlineStr">
        <is>
          <t>TÖREBODA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29023-2024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45481</v>
      </c>
      <c r="E91" s="1" t="n">
        <v>46275</v>
      </c>
      <c r="F91" t="inlineStr">
        <is>
          <t>VÄSTRA GÖTALANDS LÄN</t>
        </is>
      </c>
      <c r="G91" t="inlineStr">
        <is>
          <t>TÖREBODA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45156</v>
      </c>
      <c r="E92" s="1" t="n">
        <v>46275</v>
      </c>
      <c r="F92" t="inlineStr">
        <is>
          <t>VÄSTRA GÖTALANDS LÄN</t>
        </is>
      </c>
      <c r="G92" t="inlineStr">
        <is>
          <t>TÖREBODA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56831-2022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44894</v>
      </c>
      <c r="E93" s="1" t="n">
        <v>46275</v>
      </c>
      <c r="F93" t="inlineStr">
        <is>
          <t>VÄSTRA GÖTALANDS LÄN</t>
        </is>
      </c>
      <c r="G93" t="inlineStr">
        <is>
          <t>TÖREBODA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45049</v>
      </c>
      <c r="E94" s="1" t="n">
        <v>46275</v>
      </c>
      <c r="F94" t="inlineStr">
        <is>
          <t>VÄSTRA GÖTALANDS LÄN</t>
        </is>
      </c>
      <c r="G94" t="inlineStr">
        <is>
          <t>TÖREBODA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45531</v>
      </c>
      <c r="E95" s="1" t="n">
        <v>46275</v>
      </c>
      <c r="F95" t="inlineStr">
        <is>
          <t>VÄSTRA GÖTALANDS LÄN</t>
        </is>
      </c>
      <c r="G95" t="inlineStr">
        <is>
          <t>TÖREBODA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45414</v>
      </c>
      <c r="E96" s="1" t="n">
        <v>46275</v>
      </c>
      <c r="F96" t="inlineStr">
        <is>
          <t>VÄSTRA GÖTALANDS LÄN</t>
        </is>
      </c>
      <c r="G96" t="inlineStr">
        <is>
          <t>TÖREBODA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46275</v>
      </c>
      <c r="F97" t="inlineStr">
        <is>
          <t>VÄSTRA GÖTALANDS LÄN</t>
        </is>
      </c>
      <c r="G97" t="inlineStr">
        <is>
          <t>TÖREBODA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45627</v>
      </c>
      <c r="E98" s="1" t="n">
        <v>46275</v>
      </c>
      <c r="F98" t="inlineStr">
        <is>
          <t>VÄSTRA GÖTALANDS LÄN</t>
        </is>
      </c>
      <c r="G98" t="inlineStr">
        <is>
          <t>TÖREBODA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46275</v>
      </c>
      <c r="F99" t="inlineStr">
        <is>
          <t>VÄSTRA GÖTALANDS LÄN</t>
        </is>
      </c>
      <c r="G99" t="inlineStr">
        <is>
          <t>TÖREBODA</t>
        </is>
      </c>
      <c r="I99" t="n">
        <v>49.4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44924</v>
      </c>
      <c r="E100" s="1" t="n">
        <v>46275</v>
      </c>
      <c r="F100" t="inlineStr">
        <is>
          <t>VÄSTRA GÖTALANDS LÄN</t>
        </is>
      </c>
      <c r="G100" t="inlineStr">
        <is>
          <t>TÖREBODA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44907</v>
      </c>
      <c r="E101" s="1" t="n">
        <v>46275</v>
      </c>
      <c r="F101" t="inlineStr">
        <is>
          <t>VÄSTRA GÖTALANDS LÄN</t>
        </is>
      </c>
      <c r="G101" t="inlineStr">
        <is>
          <t>TÖREBODA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46275</v>
      </c>
      <c r="F102" t="inlineStr">
        <is>
          <t>VÄSTRA GÖTALANDS LÄN</t>
        </is>
      </c>
      <c r="G102" t="inlineStr">
        <is>
          <t>TÖREBODA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46275</v>
      </c>
      <c r="F103" t="inlineStr">
        <is>
          <t>VÄSTRA GÖTALANDS LÄN</t>
        </is>
      </c>
      <c r="G103" t="inlineStr">
        <is>
          <t>TÖREBODA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46275</v>
      </c>
      <c r="F104" t="inlineStr">
        <is>
          <t>VÄSTRA GÖTALANDS LÄN</t>
        </is>
      </c>
      <c r="G104" t="inlineStr">
        <is>
          <t>TÖREBODA</t>
        </is>
      </c>
      <c r="H104" t="inlineStr">
        <is>
          <t>Övriga statliga verk och myndigheter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44988</v>
      </c>
      <c r="E105" s="1" t="n">
        <v>46275</v>
      </c>
      <c r="F105" t="inlineStr">
        <is>
          <t>VÄSTRA GÖTALANDS LÄN</t>
        </is>
      </c>
      <c r="G105" t="inlineStr">
        <is>
          <t>TÖREBODA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45553</v>
      </c>
      <c r="E106" s="1" t="n">
        <v>46275</v>
      </c>
      <c r="F106" t="inlineStr">
        <is>
          <t>VÄSTRA GÖTALANDS LÄN</t>
        </is>
      </c>
      <c r="G106" t="inlineStr">
        <is>
          <t>TÖREBODA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45750</v>
      </c>
      <c r="E107" s="1" t="n">
        <v>46275</v>
      </c>
      <c r="F107" t="inlineStr">
        <is>
          <t>VÄSTRA GÖTALANDS LÄN</t>
        </is>
      </c>
      <c r="G107" t="inlineStr">
        <is>
          <t>TÖREBODA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46275</v>
      </c>
      <c r="F108" t="inlineStr">
        <is>
          <t>VÄSTRA GÖTALANDS LÄN</t>
        </is>
      </c>
      <c r="G108" t="inlineStr">
        <is>
          <t>TÖREBODA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56273-2022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44890</v>
      </c>
      <c r="E109" s="1" t="n">
        <v>46275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45553</v>
      </c>
      <c r="E110" s="1" t="n">
        <v>46275</v>
      </c>
      <c r="F110" t="inlineStr">
        <is>
          <t>VÄSTRA GÖTALANDS LÄN</t>
        </is>
      </c>
      <c r="G110" t="inlineStr">
        <is>
          <t>TÖREBODA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44924</v>
      </c>
      <c r="E111" s="1" t="n">
        <v>46275</v>
      </c>
      <c r="F111" t="inlineStr">
        <is>
          <t>VÄSTRA GÖTALANDS LÄN</t>
        </is>
      </c>
      <c r="G111" t="inlineStr">
        <is>
          <t>TÖREBODA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44978</v>
      </c>
      <c r="E112" s="1" t="n">
        <v>46275</v>
      </c>
      <c r="F112" t="inlineStr">
        <is>
          <t>VÄSTRA GÖTALANDS LÄN</t>
        </is>
      </c>
      <c r="G112" t="inlineStr">
        <is>
          <t>TÖREBODA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41627-2022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44827</v>
      </c>
      <c r="E113" s="1" t="n">
        <v>46275</v>
      </c>
      <c r="F113" t="inlineStr">
        <is>
          <t>VÄSTRA GÖTALANDS LÄN</t>
        </is>
      </c>
      <c r="G113" t="inlineStr">
        <is>
          <t>TÖREBODA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41632-2022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44827</v>
      </c>
      <c r="E114" s="1" t="n">
        <v>46275</v>
      </c>
      <c r="F114" t="inlineStr">
        <is>
          <t>VÄSTRA GÖTALANDS LÄN</t>
        </is>
      </c>
      <c r="G114" t="inlineStr">
        <is>
          <t>TÖREBODA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46275</v>
      </c>
      <c r="F115" t="inlineStr">
        <is>
          <t>VÄSTRA GÖTALANDS LÄN</t>
        </is>
      </c>
      <c r="G115" t="inlineStr">
        <is>
          <t>TÖREBODA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33276-2023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45127</v>
      </c>
      <c r="E116" s="1" t="n">
        <v>46275</v>
      </c>
      <c r="F116" t="inlineStr">
        <is>
          <t>VÄSTRA GÖTALANDS LÄN</t>
        </is>
      </c>
      <c r="G116" t="inlineStr">
        <is>
          <t>TÖREBODA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45552</v>
      </c>
      <c r="E117" s="1" t="n">
        <v>46275</v>
      </c>
      <c r="F117" t="inlineStr">
        <is>
          <t>VÄSTRA GÖTALANDS LÄN</t>
        </is>
      </c>
      <c r="G117" t="inlineStr">
        <is>
          <t>TÖREBODA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45231</v>
      </c>
      <c r="E118" s="1" t="n">
        <v>46275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23033-2024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45450</v>
      </c>
      <c r="E119" s="1" t="n">
        <v>46275</v>
      </c>
      <c r="F119" t="inlineStr">
        <is>
          <t>VÄSTRA GÖTALANDS LÄN</t>
        </is>
      </c>
      <c r="G119" t="inlineStr">
        <is>
          <t>TÖREBODA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46275</v>
      </c>
      <c r="F120" t="inlineStr">
        <is>
          <t>VÄSTRA GÖTALANDS LÄN</t>
        </is>
      </c>
      <c r="G120" t="inlineStr">
        <is>
          <t>TÖREBODA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46275</v>
      </c>
      <c r="F121" t="inlineStr">
        <is>
          <t>VÄSTRA GÖTALANDS LÄN</t>
        </is>
      </c>
      <c r="G121" t="inlineStr">
        <is>
          <t>TÖREBODA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46275</v>
      </c>
      <c r="F122" t="inlineStr">
        <is>
          <t>VÄSTRA GÖTALANDS LÄN</t>
        </is>
      </c>
      <c r="G122" t="inlineStr">
        <is>
          <t>TÖREBODA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46275</v>
      </c>
      <c r="F123" t="inlineStr">
        <is>
          <t>VÄSTRA GÖTALANDS LÄN</t>
        </is>
      </c>
      <c r="G123" t="inlineStr">
        <is>
          <t>TÖREBODA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46275</v>
      </c>
      <c r="F124" t="inlineStr">
        <is>
          <t>VÄSTRA GÖTALANDS LÄN</t>
        </is>
      </c>
      <c r="G124" t="inlineStr">
        <is>
          <t>TÖREBODA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15086-2024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45399</v>
      </c>
      <c r="E125" s="1" t="n">
        <v>46275</v>
      </c>
      <c r="F125" t="inlineStr">
        <is>
          <t>VÄSTRA GÖTALANDS LÄN</t>
        </is>
      </c>
      <c r="G125" t="inlineStr">
        <is>
          <t>TÖREBODA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19723-2023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46275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46275</v>
      </c>
      <c r="F127" t="inlineStr">
        <is>
          <t>VÄSTRA GÖTALANDS LÄN</t>
        </is>
      </c>
      <c r="G127" t="inlineStr">
        <is>
          <t>TÖREBODA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45552</v>
      </c>
      <c r="E128" s="1" t="n">
        <v>46275</v>
      </c>
      <c r="F128" t="inlineStr">
        <is>
          <t>VÄSTRA GÖTALANDS LÄN</t>
        </is>
      </c>
      <c r="G128" t="inlineStr">
        <is>
          <t>TÖREBODA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46275</v>
      </c>
      <c r="F129" t="inlineStr">
        <is>
          <t>VÄSTRA GÖTALANDS LÄN</t>
        </is>
      </c>
      <c r="G129" t="inlineStr">
        <is>
          <t>TÖREBODA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45350</v>
      </c>
      <c r="E130" s="1" t="n">
        <v>46275</v>
      </c>
      <c r="F130" t="inlineStr">
        <is>
          <t>VÄSTRA GÖTALANDS LÄN</t>
        </is>
      </c>
      <c r="G130" t="inlineStr">
        <is>
          <t>TÖREBODA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45142</v>
      </c>
      <c r="E131" s="1" t="n">
        <v>46275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Sveaskog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45309</v>
      </c>
      <c r="E132" s="1" t="n">
        <v>46275</v>
      </c>
      <c r="F132" t="inlineStr">
        <is>
          <t>VÄSTRA GÖTALANDS LÄN</t>
        </is>
      </c>
      <c r="G132" t="inlineStr">
        <is>
          <t>TÖREBODA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46275</v>
      </c>
      <c r="F133" t="inlineStr">
        <is>
          <t>VÄSTRA GÖTALANDS LÄN</t>
        </is>
      </c>
      <c r="G133" t="inlineStr">
        <is>
          <t>TÖREBODA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45531</v>
      </c>
      <c r="E134" s="1" t="n">
        <v>46275</v>
      </c>
      <c r="F134" t="inlineStr">
        <is>
          <t>VÄSTRA GÖTALANDS LÄN</t>
        </is>
      </c>
      <c r="G134" t="inlineStr">
        <is>
          <t>TÖREBODA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44923</v>
      </c>
      <c r="E135" s="1" t="n">
        <v>46275</v>
      </c>
      <c r="F135" t="inlineStr">
        <is>
          <t>VÄSTRA GÖTALANDS LÄN</t>
        </is>
      </c>
      <c r="G135" t="inlineStr">
        <is>
          <t>TÖREBODA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59438-2022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46275</v>
      </c>
      <c r="F136" t="inlineStr">
        <is>
          <t>VÄSTRA GÖTALANDS LÄN</t>
        </is>
      </c>
      <c r="G136" t="inlineStr">
        <is>
          <t>TÖREBODA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46275</v>
      </c>
      <c r="F137" t="inlineStr">
        <is>
          <t>VÄSTRA GÖTALANDS LÄN</t>
        </is>
      </c>
      <c r="G137" t="inlineStr">
        <is>
          <t>TÖREBODA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46275</v>
      </c>
      <c r="F138" t="inlineStr">
        <is>
          <t>VÄSTRA GÖTALANDS LÄN</t>
        </is>
      </c>
      <c r="G138" t="inlineStr">
        <is>
          <t>TÖREBODA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46275</v>
      </c>
      <c r="F139" t="inlineStr">
        <is>
          <t>VÄSTRA GÖTALANDS LÄN</t>
        </is>
      </c>
      <c r="G139" t="inlineStr">
        <is>
          <t>TÖREBODA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46275</v>
      </c>
      <c r="F140" t="inlineStr">
        <is>
          <t>VÄSTRA GÖTALANDS LÄN</t>
        </is>
      </c>
      <c r="G140" t="inlineStr">
        <is>
          <t>TÖREBODA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45352</v>
      </c>
      <c r="E141" s="1" t="n">
        <v>46275</v>
      </c>
      <c r="F141" t="inlineStr">
        <is>
          <t>VÄSTRA GÖTALANDS LÄN</t>
        </is>
      </c>
      <c r="G141" t="inlineStr">
        <is>
          <t>TÖREBODA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46275</v>
      </c>
      <c r="F142" t="inlineStr">
        <is>
          <t>VÄSTRA GÖTALANDS LÄN</t>
        </is>
      </c>
      <c r="G142" t="inlineStr">
        <is>
          <t>TÖREBODA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46275</v>
      </c>
      <c r="F143" t="inlineStr">
        <is>
          <t>VÄSTRA GÖTALANDS LÄN</t>
        </is>
      </c>
      <c r="G143" t="inlineStr">
        <is>
          <t>TÖREBODA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45763</v>
      </c>
      <c r="E144" s="1" t="n">
        <v>46275</v>
      </c>
      <c r="F144" t="inlineStr">
        <is>
          <t>VÄSTRA GÖTALANDS LÄN</t>
        </is>
      </c>
      <c r="G144" t="inlineStr">
        <is>
          <t>TÖREBODA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44900</v>
      </c>
      <c r="E145" s="1" t="n">
        <v>46275</v>
      </c>
      <c r="F145" t="inlineStr">
        <is>
          <t>VÄSTRA GÖTALANDS LÄN</t>
        </is>
      </c>
      <c r="G145" t="inlineStr">
        <is>
          <t>TÖREBODA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45706</v>
      </c>
      <c r="E146" s="1" t="n">
        <v>46275</v>
      </c>
      <c r="F146" t="inlineStr">
        <is>
          <t>VÄSTRA GÖTALANDS LÄN</t>
        </is>
      </c>
      <c r="G146" t="inlineStr">
        <is>
          <t>TÖREBODA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45082</v>
      </c>
      <c r="E147" s="1" t="n">
        <v>46275</v>
      </c>
      <c r="F147" t="inlineStr">
        <is>
          <t>VÄSTRA GÖTALANDS LÄN</t>
        </is>
      </c>
      <c r="G147" t="inlineStr">
        <is>
          <t>TÖREBODA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45460</v>
      </c>
      <c r="E148" s="1" t="n">
        <v>46275</v>
      </c>
      <c r="F148" t="inlineStr">
        <is>
          <t>VÄSTRA GÖTALANDS LÄN</t>
        </is>
      </c>
      <c r="G148" t="inlineStr">
        <is>
          <t>TÖREBODA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46275</v>
      </c>
      <c r="F149" t="inlineStr">
        <is>
          <t>VÄSTRA GÖTALANDS LÄN</t>
        </is>
      </c>
      <c r="G149" t="inlineStr">
        <is>
          <t>TÖREBODA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45556</v>
      </c>
      <c r="E150" s="1" t="n">
        <v>46275</v>
      </c>
      <c r="F150" t="inlineStr">
        <is>
          <t>VÄSTRA GÖTALANDS LÄN</t>
        </is>
      </c>
      <c r="G150" t="inlineStr">
        <is>
          <t>TÖREBODA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46275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Övriga statliga verk och myndigheter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20976-2025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46275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46275</v>
      </c>
      <c r="F153" t="inlineStr">
        <is>
          <t>VÄSTRA GÖTALANDS LÄN</t>
        </is>
      </c>
      <c r="G153" t="inlineStr">
        <is>
          <t>TÖREBODA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46275</v>
      </c>
      <c r="F154" t="inlineStr">
        <is>
          <t>VÄSTRA GÖTALANDS LÄN</t>
        </is>
      </c>
      <c r="G154" t="inlineStr">
        <is>
          <t>TÖREBODA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46275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46275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Övriga statliga verk och myndigheter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46275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11730-2025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45727</v>
      </c>
      <c r="E158" s="1" t="n">
        <v>46275</v>
      </c>
      <c r="F158" t="inlineStr">
        <is>
          <t>VÄSTRA GÖTALANDS LÄN</t>
        </is>
      </c>
      <c r="G158" t="inlineStr">
        <is>
          <t>TÖREBODA</t>
        </is>
      </c>
      <c r="I158" t="n">
        <v>11.2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46275</v>
      </c>
      <c r="F159" t="inlineStr">
        <is>
          <t>VÄSTRA GÖTALANDS LÄN</t>
        </is>
      </c>
      <c r="G159" t="inlineStr">
        <is>
          <t>TÖREBODA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46275</v>
      </c>
      <c r="F160" t="inlineStr">
        <is>
          <t>VÄSTRA GÖTALANDS LÄN</t>
        </is>
      </c>
      <c r="G160" t="inlineStr">
        <is>
          <t>TÖREBODA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45077</v>
      </c>
      <c r="E161" s="1" t="n">
        <v>46275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Övriga Aktiebolag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45627</v>
      </c>
      <c r="E162" s="1" t="n">
        <v>46275</v>
      </c>
      <c r="F162" t="inlineStr">
        <is>
          <t>VÄSTRA GÖTALANDS LÄN</t>
        </is>
      </c>
      <c r="G162" t="inlineStr">
        <is>
          <t>TÖREBODA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46275</v>
      </c>
      <c r="F163" t="inlineStr">
        <is>
          <t>VÄSTRA GÖTALANDS LÄN</t>
        </is>
      </c>
      <c r="G163" t="inlineStr">
        <is>
          <t>TÖREBODA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57225-2021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44483</v>
      </c>
      <c r="E164" s="1" t="n">
        <v>46275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45268</v>
      </c>
      <c r="E165" s="1" t="n">
        <v>46275</v>
      </c>
      <c r="F165" t="inlineStr">
        <is>
          <t>VÄSTRA GÖTALANDS LÄN</t>
        </is>
      </c>
      <c r="G165" t="inlineStr">
        <is>
          <t>TÖREBODA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46275</v>
      </c>
      <c r="F166" t="inlineStr">
        <is>
          <t>VÄSTRA GÖTALANDS LÄN</t>
        </is>
      </c>
      <c r="G166" t="inlineStr">
        <is>
          <t>TÖREBODA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13056-2023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45002</v>
      </c>
      <c r="E167" s="1" t="n">
        <v>46275</v>
      </c>
      <c r="F167" t="inlineStr">
        <is>
          <t>VÄSTRA GÖTALANDS LÄN</t>
        </is>
      </c>
      <c r="G167" t="inlineStr">
        <is>
          <t>TÖREBODA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46275</v>
      </c>
      <c r="F168" t="inlineStr">
        <is>
          <t>VÄSTRA GÖTALANDS LÄN</t>
        </is>
      </c>
      <c r="G168" t="inlineStr">
        <is>
          <t>TÖREBODA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46275</v>
      </c>
      <c r="F169" t="inlineStr">
        <is>
          <t>VÄSTRA GÖTALANDS LÄN</t>
        </is>
      </c>
      <c r="G169" t="inlineStr">
        <is>
          <t>TÖREBODA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45328</v>
      </c>
      <c r="E170" s="1" t="n">
        <v>46275</v>
      </c>
      <c r="F170" t="inlineStr">
        <is>
          <t>VÄSTRA GÖTALANDS LÄN</t>
        </is>
      </c>
      <c r="G170" t="inlineStr">
        <is>
          <t>TÖREBODA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45627</v>
      </c>
      <c r="E171" s="1" t="n">
        <v>46275</v>
      </c>
      <c r="F171" t="inlineStr">
        <is>
          <t>VÄSTRA GÖTALANDS LÄN</t>
        </is>
      </c>
      <c r="G171" t="inlineStr">
        <is>
          <t>TÖREBODA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46275</v>
      </c>
      <c r="F172" t="inlineStr">
        <is>
          <t>VÄSTRA GÖTALANDS LÄN</t>
        </is>
      </c>
      <c r="G172" t="inlineStr">
        <is>
          <t>TÖREBODA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46275</v>
      </c>
      <c r="F173" t="inlineStr">
        <is>
          <t>VÄSTRA GÖTALANDS LÄN</t>
        </is>
      </c>
      <c r="G173" t="inlineStr">
        <is>
          <t>TÖREBODA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45664</v>
      </c>
      <c r="E174" s="1" t="n">
        <v>46275</v>
      </c>
      <c r="F174" t="inlineStr">
        <is>
          <t>VÄSTRA GÖTALANDS LÄN</t>
        </is>
      </c>
      <c r="G174" t="inlineStr">
        <is>
          <t>TÖREBODA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46275</v>
      </c>
      <c r="F175" t="inlineStr">
        <is>
          <t>VÄSTRA GÖTALANDS LÄN</t>
        </is>
      </c>
      <c r="G175" t="inlineStr">
        <is>
          <t>TÖREBODA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46275</v>
      </c>
      <c r="F176" t="inlineStr">
        <is>
          <t>VÄSTRA GÖTALANDS LÄN</t>
        </is>
      </c>
      <c r="G176" t="inlineStr">
        <is>
          <t>TÖREBODA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45439</v>
      </c>
      <c r="E177" s="1" t="n">
        <v>46275</v>
      </c>
      <c r="F177" t="inlineStr">
        <is>
          <t>VÄSTRA GÖTALANDS LÄN</t>
        </is>
      </c>
      <c r="G177" t="inlineStr">
        <is>
          <t>TÖREBODA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45394</v>
      </c>
      <c r="E178" s="1" t="n">
        <v>46275</v>
      </c>
      <c r="F178" t="inlineStr">
        <is>
          <t>VÄSTRA GÖTALANDS LÄN</t>
        </is>
      </c>
      <c r="G178" t="inlineStr">
        <is>
          <t>TÖREBODA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46275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Kyrkan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46275</v>
      </c>
      <c r="F180" t="inlineStr">
        <is>
          <t>VÄSTRA GÖTALANDS LÄN</t>
        </is>
      </c>
      <c r="G180" t="inlineStr">
        <is>
          <t>TÖREBODA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45493</v>
      </c>
      <c r="E181" s="1" t="n">
        <v>46275</v>
      </c>
      <c r="F181" t="inlineStr">
        <is>
          <t>VÄSTRA GÖTALANDS LÄN</t>
        </is>
      </c>
      <c r="G181" t="inlineStr">
        <is>
          <t>TÖREBODA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45569</v>
      </c>
      <c r="E182" s="1" t="n">
        <v>46275</v>
      </c>
      <c r="F182" t="inlineStr">
        <is>
          <t>VÄSTRA GÖTALANDS LÄN</t>
        </is>
      </c>
      <c r="G182" t="inlineStr">
        <is>
          <t>TÖREBODA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23664-2023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45077</v>
      </c>
      <c r="E183" s="1" t="n">
        <v>46275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Övriga Aktiebolag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44749</v>
      </c>
      <c r="E184" s="1" t="n">
        <v>46275</v>
      </c>
      <c r="F184" t="inlineStr">
        <is>
          <t>VÄSTRA GÖTALANDS LÄN</t>
        </is>
      </c>
      <c r="G184" t="inlineStr">
        <is>
          <t>TÖREBODA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46275</v>
      </c>
      <c r="F185" t="inlineStr">
        <is>
          <t>VÄSTRA GÖTALANDS LÄN</t>
        </is>
      </c>
      <c r="G185" t="inlineStr">
        <is>
          <t>TÖREBODA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26941-2025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45811</v>
      </c>
      <c r="E186" s="1" t="n">
        <v>46275</v>
      </c>
      <c r="F186" t="inlineStr">
        <is>
          <t>VÄSTRA GÖTALANDS LÄN</t>
        </is>
      </c>
      <c r="G186" t="inlineStr">
        <is>
          <t>TÖREBODA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46275</v>
      </c>
      <c r="F187" t="inlineStr">
        <is>
          <t>VÄSTRA GÖTALANDS LÄN</t>
        </is>
      </c>
      <c r="G187" t="inlineStr">
        <is>
          <t>TÖREBODA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45763</v>
      </c>
      <c r="E188" s="1" t="n">
        <v>46275</v>
      </c>
      <c r="F188" t="inlineStr">
        <is>
          <t>VÄSTRA GÖTALANDS LÄN</t>
        </is>
      </c>
      <c r="G188" t="inlineStr">
        <is>
          <t>TÖREBODA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44571</v>
      </c>
      <c r="E189" s="1" t="n">
        <v>46275</v>
      </c>
      <c r="F189" t="inlineStr">
        <is>
          <t>VÄSTRA GÖTALANDS LÄN</t>
        </is>
      </c>
      <c r="G189" t="inlineStr">
        <is>
          <t>TÖREBODA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46275</v>
      </c>
      <c r="F190" t="inlineStr">
        <is>
          <t>VÄSTRA GÖTALANDS LÄN</t>
        </is>
      </c>
      <c r="G190" t="inlineStr">
        <is>
          <t>TÖREBODA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28196-2022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44746</v>
      </c>
      <c r="E191" s="1" t="n">
        <v>46275</v>
      </c>
      <c r="F191" t="inlineStr">
        <is>
          <t>VÄSTRA GÖTALANDS LÄN</t>
        </is>
      </c>
      <c r="G191" t="inlineStr">
        <is>
          <t>TÖREBODA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46275</v>
      </c>
      <c r="F192" t="inlineStr">
        <is>
          <t>VÄSTRA GÖTALANDS LÄN</t>
        </is>
      </c>
      <c r="G192" t="inlineStr">
        <is>
          <t>TÖREBODA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45642</v>
      </c>
      <c r="E193" s="1" t="n">
        <v>46275</v>
      </c>
      <c r="F193" t="inlineStr">
        <is>
          <t>VÄSTRA GÖTALANDS LÄN</t>
        </is>
      </c>
      <c r="G193" t="inlineStr">
        <is>
          <t>TÖREBODA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45885</v>
      </c>
      <c r="E194" s="1" t="n">
        <v>46275</v>
      </c>
      <c r="F194" t="inlineStr">
        <is>
          <t>VÄSTRA GÖTALANDS LÄN</t>
        </is>
      </c>
      <c r="G194" t="inlineStr">
        <is>
          <t>TÖREBODA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45885</v>
      </c>
      <c r="E195" s="1" t="n">
        <v>46275</v>
      </c>
      <c r="F195" t="inlineStr">
        <is>
          <t>VÄSTRA GÖTALANDS LÄN</t>
        </is>
      </c>
      <c r="G195" t="inlineStr">
        <is>
          <t>TÖREBODA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46275</v>
      </c>
      <c r="F196" t="inlineStr">
        <is>
          <t>VÄSTRA GÖTALANDS LÄN</t>
        </is>
      </c>
      <c r="G196" t="inlineStr">
        <is>
          <t>TÖREBODA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45912</v>
      </c>
      <c r="E197" s="1" t="n">
        <v>46275</v>
      </c>
      <c r="F197" t="inlineStr">
        <is>
          <t>VÄSTRA GÖTALANDS LÄN</t>
        </is>
      </c>
      <c r="G197" t="inlineStr">
        <is>
          <t>TÖREBODA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46275</v>
      </c>
      <c r="F198" t="inlineStr">
        <is>
          <t>VÄSTRA GÖTALANDS LÄN</t>
        </is>
      </c>
      <c r="G198" t="inlineStr">
        <is>
          <t>TÖREBODA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45684</v>
      </c>
      <c r="E199" s="1" t="n">
        <v>46275</v>
      </c>
      <c r="F199" t="inlineStr">
        <is>
          <t>VÄSTRA GÖTALANDS LÄN</t>
        </is>
      </c>
      <c r="G199" t="inlineStr">
        <is>
          <t>TÖREBODA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45885</v>
      </c>
      <c r="E200" s="1" t="n">
        <v>46275</v>
      </c>
      <c r="F200" t="inlineStr">
        <is>
          <t>VÄSTRA GÖTALANDS LÄN</t>
        </is>
      </c>
      <c r="G200" t="inlineStr">
        <is>
          <t>TÖREBODA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46275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46275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46275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46275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46275</v>
      </c>
      <c r="F205" t="inlineStr">
        <is>
          <t>VÄSTRA GÖTALANDS LÄN</t>
        </is>
      </c>
      <c r="G205" t="inlineStr">
        <is>
          <t>TÖREBODA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46275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Övriga statliga verk och myndigheter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46275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Övriga statliga verk och myndigheter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46275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46275</v>
      </c>
      <c r="F209" t="inlineStr">
        <is>
          <t>VÄSTRA GÖTALANDS LÄN</t>
        </is>
      </c>
      <c r="G209" t="inlineStr">
        <is>
          <t>TÖREBODA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46275</v>
      </c>
      <c r="F210" t="inlineStr">
        <is>
          <t>VÄSTRA GÖTALANDS LÄN</t>
        </is>
      </c>
      <c r="G210" t="inlineStr">
        <is>
          <t>TÖREBODA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46275</v>
      </c>
      <c r="F211" t="inlineStr">
        <is>
          <t>VÄSTRA GÖTALANDS LÄN</t>
        </is>
      </c>
      <c r="G211" t="inlineStr">
        <is>
          <t>TÖREBODA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45530</v>
      </c>
      <c r="E212" s="1" t="n">
        <v>46275</v>
      </c>
      <c r="F212" t="inlineStr">
        <is>
          <t>VÄSTRA GÖTALANDS LÄN</t>
        </is>
      </c>
      <c r="G212" t="inlineStr">
        <is>
          <t>TÖREBODA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46275</v>
      </c>
      <c r="F213" t="inlineStr">
        <is>
          <t>VÄSTRA GÖTALANDS LÄN</t>
        </is>
      </c>
      <c r="G213" t="inlineStr">
        <is>
          <t>TÖREBODA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46275</v>
      </c>
      <c r="F214" t="inlineStr">
        <is>
          <t>VÄSTRA GÖTALANDS LÄN</t>
        </is>
      </c>
      <c r="G214" t="inlineStr">
        <is>
          <t>TÖREBODA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46135-2025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46275</v>
      </c>
      <c r="F215" t="inlineStr">
        <is>
          <t>VÄSTRA GÖTALANDS LÄN</t>
        </is>
      </c>
      <c r="G215" t="inlineStr">
        <is>
          <t>TÖREBODA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44950</v>
      </c>
      <c r="E216" s="1" t="n">
        <v>46275</v>
      </c>
      <c r="F216" t="inlineStr">
        <is>
          <t>VÄSTRA GÖTALANDS LÄN</t>
        </is>
      </c>
      <c r="G216" t="inlineStr">
        <is>
          <t>TÖREBODA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46275</v>
      </c>
      <c r="F217" t="inlineStr">
        <is>
          <t>VÄSTRA GÖTALANDS LÄN</t>
        </is>
      </c>
      <c r="G217" t="inlineStr">
        <is>
          <t>TÖREBODA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45448</v>
      </c>
      <c r="E218" s="1" t="n">
        <v>46275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Övriga statliga verk och myndigheter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46275</v>
      </c>
      <c r="F219" t="inlineStr">
        <is>
          <t>VÄSTRA GÖTALANDS LÄN</t>
        </is>
      </c>
      <c r="G219" t="inlineStr">
        <is>
          <t>TÖREBODA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46275</v>
      </c>
      <c r="F220" t="inlineStr">
        <is>
          <t>VÄSTRA GÖTALANDS LÄN</t>
        </is>
      </c>
      <c r="G220" t="inlineStr">
        <is>
          <t>TÖREBODA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49171-2025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46275</v>
      </c>
      <c r="F221" t="inlineStr">
        <is>
          <t>VÄSTRA GÖTALANDS LÄN</t>
        </is>
      </c>
      <c r="G221" t="inlineStr">
        <is>
          <t>TÖREBODA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46275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Sveaskog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46275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46275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45233</v>
      </c>
      <c r="E225" s="1" t="n">
        <v>46275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45405</v>
      </c>
      <c r="E226" s="1" t="n">
        <v>46275</v>
      </c>
      <c r="F226" t="inlineStr">
        <is>
          <t>VÄSTRA GÖTALANDS LÄN</t>
        </is>
      </c>
      <c r="G226" t="inlineStr">
        <is>
          <t>TÖREBODA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46275</v>
      </c>
      <c r="F227" t="inlineStr">
        <is>
          <t>VÄSTRA GÖTALANDS LÄN</t>
        </is>
      </c>
      <c r="G227" t="inlineStr">
        <is>
          <t>TÖREBODA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46275</v>
      </c>
      <c r="F228" t="inlineStr">
        <is>
          <t>VÄSTRA GÖTALANDS LÄN</t>
        </is>
      </c>
      <c r="G228" t="inlineStr">
        <is>
          <t>TÖREBODA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45651</v>
      </c>
      <c r="E229" s="1" t="n">
        <v>46275</v>
      </c>
      <c r="F229" t="inlineStr">
        <is>
          <t>VÄSTRA GÖTALANDS LÄN</t>
        </is>
      </c>
      <c r="G229" t="inlineStr">
        <is>
          <t>TÖREBODA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46275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Sveaskog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48491-2022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44858</v>
      </c>
      <c r="E231" s="1" t="n">
        <v>46275</v>
      </c>
      <c r="F231" t="inlineStr">
        <is>
          <t>VÄSTRA GÖTALANDS LÄN</t>
        </is>
      </c>
      <c r="G231" t="inlineStr">
        <is>
          <t>TÖREBODA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46275</v>
      </c>
      <c r="F232" t="inlineStr">
        <is>
          <t>VÄSTRA GÖTALANDS LÄN</t>
        </is>
      </c>
      <c r="G232" t="inlineStr">
        <is>
          <t>TÖREBODA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52639-2025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46275</v>
      </c>
      <c r="F233" t="inlineStr">
        <is>
          <t>VÄSTRA GÖTALANDS LÄN</t>
        </is>
      </c>
      <c r="G233" t="inlineStr">
        <is>
          <t>TÖREBODA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58226-2022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46275</v>
      </c>
      <c r="F234" t="inlineStr">
        <is>
          <t>VÄSTRA GÖTALANDS LÄN</t>
        </is>
      </c>
      <c r="G234" t="inlineStr">
        <is>
          <t>TÖREBODA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45685</v>
      </c>
      <c r="E235" s="1" t="n">
        <v>46275</v>
      </c>
      <c r="F235" t="inlineStr">
        <is>
          <t>VÄSTRA GÖTALANDS LÄN</t>
        </is>
      </c>
      <c r="G235" t="inlineStr">
        <is>
          <t>TÖREBODA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45961</v>
      </c>
      <c r="E236" s="1" t="n">
        <v>46275</v>
      </c>
      <c r="F236" t="inlineStr">
        <is>
          <t>VÄSTRA GÖTALANDS LÄN</t>
        </is>
      </c>
      <c r="G236" t="inlineStr">
        <is>
          <t>TÖREBODA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45268</v>
      </c>
      <c r="E237" s="1" t="n">
        <v>46275</v>
      </c>
      <c r="F237" t="inlineStr">
        <is>
          <t>VÄSTRA GÖTALANDS LÄN</t>
        </is>
      </c>
      <c r="G237" t="inlineStr">
        <is>
          <t>TÖREBODA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55656-2025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46275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55593-2025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45971</v>
      </c>
      <c r="E239" s="1" t="n">
        <v>46275</v>
      </c>
      <c r="F239" t="inlineStr">
        <is>
          <t>VÄSTRA GÖTALANDS LÄN</t>
        </is>
      </c>
      <c r="G239" t="inlineStr">
        <is>
          <t>TÖREBODA</t>
        </is>
      </c>
      <c r="I239" t="n">
        <v>20.8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45972</v>
      </c>
      <c r="E240" s="1" t="n">
        <v>46275</v>
      </c>
      <c r="F240" t="inlineStr">
        <is>
          <t>VÄSTRA GÖTALANDS LÄN</t>
        </is>
      </c>
      <c r="G240" t="inlineStr">
        <is>
          <t>TÖREBODA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46275</v>
      </c>
      <c r="F241" t="inlineStr">
        <is>
          <t>VÄSTRA GÖTALANDS LÄN</t>
        </is>
      </c>
      <c r="G241" t="inlineStr">
        <is>
          <t>TÖREBODA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46275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44951</v>
      </c>
      <c r="E243" s="1" t="n">
        <v>46275</v>
      </c>
      <c r="F243" t="inlineStr">
        <is>
          <t>VÄSTRA GÖTALANDS LÄN</t>
        </is>
      </c>
      <c r="G243" t="inlineStr">
        <is>
          <t>TÖREBODA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44923</v>
      </c>
      <c r="E244" s="1" t="n">
        <v>46275</v>
      </c>
      <c r="F244" t="inlineStr">
        <is>
          <t>VÄSTRA GÖTALANDS LÄN</t>
        </is>
      </c>
      <c r="G244" t="inlineStr">
        <is>
          <t>TÖREBODA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55766-2025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45972</v>
      </c>
      <c r="E245" s="1" t="n">
        <v>46275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46275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45344</v>
      </c>
      <c r="E247" s="1" t="n">
        <v>46275</v>
      </c>
      <c r="F247" t="inlineStr">
        <is>
          <t>VÄSTRA GÖTALANDS LÄN</t>
        </is>
      </c>
      <c r="G247" t="inlineStr">
        <is>
          <t>TÖREBODA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44964</v>
      </c>
      <c r="E248" s="1" t="n">
        <v>46275</v>
      </c>
      <c r="F248" t="inlineStr">
        <is>
          <t>VÄSTRA GÖTALANDS LÄN</t>
        </is>
      </c>
      <c r="G248" t="inlineStr">
        <is>
          <t>TÖREBODA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44816</v>
      </c>
      <c r="E249" s="1" t="n">
        <v>46275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Kyrkan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44599</v>
      </c>
      <c r="E250" s="1" t="n">
        <v>46275</v>
      </c>
      <c r="F250" t="inlineStr">
        <is>
          <t>VÄSTRA GÖTALANDS LÄN</t>
        </is>
      </c>
      <c r="G250" t="inlineStr">
        <is>
          <t>TÖREBODA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46275</v>
      </c>
      <c r="F251" t="inlineStr">
        <is>
          <t>VÄSTRA GÖTALANDS LÄN</t>
        </is>
      </c>
      <c r="G251" t="inlineStr">
        <is>
          <t>TÖREBODA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46275</v>
      </c>
      <c r="F252" t="inlineStr">
        <is>
          <t>VÄSTRA GÖTALANDS LÄN</t>
        </is>
      </c>
      <c r="G252" t="inlineStr">
        <is>
          <t>TÖREBODA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46275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46275</v>
      </c>
      <c r="F254" t="inlineStr">
        <is>
          <t>VÄSTRA GÖTALANDS LÄN</t>
        </is>
      </c>
      <c r="G254" t="inlineStr">
        <is>
          <t>TÖREBODA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45076</v>
      </c>
      <c r="E255" s="1" t="n">
        <v>46275</v>
      </c>
      <c r="F255" t="inlineStr">
        <is>
          <t>VÄSTRA GÖTALANDS LÄN</t>
        </is>
      </c>
      <c r="G255" t="inlineStr">
        <is>
          <t>TÖREBODA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44937</v>
      </c>
      <c r="E256" s="1" t="n">
        <v>46275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Övriga statliga verk och myndigheter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46275</v>
      </c>
      <c r="F257" t="inlineStr">
        <is>
          <t>VÄSTRA GÖTALANDS LÄN</t>
        </is>
      </c>
      <c r="G257" t="inlineStr">
        <is>
          <t>TÖREBODA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46275</v>
      </c>
      <c r="F258" t="inlineStr">
        <is>
          <t>VÄSTRA GÖTALANDS LÄN</t>
        </is>
      </c>
      <c r="G258" t="inlineStr">
        <is>
          <t>TÖREBODA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45142</v>
      </c>
      <c r="E259" s="1" t="n">
        <v>46275</v>
      </c>
      <c r="F259" t="inlineStr">
        <is>
          <t>VÄSTRA GÖTALANDS LÄN</t>
        </is>
      </c>
      <c r="G259" t="inlineStr">
        <is>
          <t>TÖREBODA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6446-2025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45699</v>
      </c>
      <c r="E260" s="1" t="n">
        <v>46275</v>
      </c>
      <c r="F260" t="inlineStr">
        <is>
          <t>VÄSTRA GÖTALANDS LÄN</t>
        </is>
      </c>
      <c r="G260" t="inlineStr">
        <is>
          <t>TÖREBODA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46275</v>
      </c>
      <c r="F261" t="inlineStr">
        <is>
          <t>VÄSTRA GÖTALANDS LÄN</t>
        </is>
      </c>
      <c r="G261" t="inlineStr">
        <is>
          <t>TÖREBODA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46275</v>
      </c>
      <c r="F262" t="inlineStr">
        <is>
          <t>VÄSTRA GÖTALANDS LÄN</t>
        </is>
      </c>
      <c r="G262" t="inlineStr">
        <is>
          <t>TÖREBODA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44987</v>
      </c>
      <c r="E263" s="1" t="n">
        <v>46275</v>
      </c>
      <c r="F263" t="inlineStr">
        <is>
          <t>VÄSTRA GÖTALANDS LÄN</t>
        </is>
      </c>
      <c r="G263" t="inlineStr">
        <is>
          <t>TÖREBODA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46275</v>
      </c>
      <c r="F264" t="inlineStr">
        <is>
          <t>VÄSTRA GÖTALANDS LÄN</t>
        </is>
      </c>
      <c r="G264" t="inlineStr">
        <is>
          <t>TÖREBODA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44956</v>
      </c>
      <c r="E265" s="1" t="n">
        <v>46275</v>
      </c>
      <c r="F265" t="inlineStr">
        <is>
          <t>VÄSTRA GÖTALANDS LÄN</t>
        </is>
      </c>
      <c r="G265" t="inlineStr">
        <is>
          <t>TÖREBODA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34436-2022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44792</v>
      </c>
      <c r="E266" s="1" t="n">
        <v>46275</v>
      </c>
      <c r="F266" t="inlineStr">
        <is>
          <t>VÄSTRA GÖTALANDS LÄN</t>
        </is>
      </c>
      <c r="G266" t="inlineStr">
        <is>
          <t>TÖREBODA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45625</v>
      </c>
      <c r="E267" s="1" t="n">
        <v>46275</v>
      </c>
      <c r="F267" t="inlineStr">
        <is>
          <t>VÄSTRA GÖTALANDS LÄN</t>
        </is>
      </c>
      <c r="G267" t="inlineStr">
        <is>
          <t>TÖREBODA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62980-2025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46275</v>
      </c>
      <c r="F268" t="inlineStr">
        <is>
          <t>VÄSTRA GÖTALANDS LÄN</t>
        </is>
      </c>
      <c r="G268" t="inlineStr">
        <is>
          <t>TÖREBODA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4194-2024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45324</v>
      </c>
      <c r="E269" s="1" t="n">
        <v>46275</v>
      </c>
      <c r="F269" t="inlineStr">
        <is>
          <t>VÄSTRA GÖTALANDS LÄN</t>
        </is>
      </c>
      <c r="G269" t="inlineStr">
        <is>
          <t>TÖREBODA</t>
        </is>
      </c>
      <c r="I269" t="n">
        <v>28.9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45322</v>
      </c>
      <c r="E270" s="1" t="n">
        <v>46275</v>
      </c>
      <c r="F270" t="inlineStr">
        <is>
          <t>VÄSTRA GÖTALANDS LÄN</t>
        </is>
      </c>
      <c r="G270" t="inlineStr">
        <is>
          <t>TÖREBODA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46275</v>
      </c>
      <c r="F271" t="inlineStr">
        <is>
          <t>VÄSTRA GÖTALANDS LÄN</t>
        </is>
      </c>
      <c r="G271" t="inlineStr">
        <is>
          <t>TÖREBODA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46275</v>
      </c>
      <c r="F272" t="inlineStr">
        <is>
          <t>VÄSTRA GÖTALANDS LÄN</t>
        </is>
      </c>
      <c r="G272" t="inlineStr">
        <is>
          <t>TÖREBODA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46078</v>
      </c>
      <c r="E273" s="1" t="n">
        <v>46275</v>
      </c>
      <c r="F273" t="inlineStr">
        <is>
          <t>VÄSTRA GÖTALANDS LÄN</t>
        </is>
      </c>
      <c r="G273" t="inlineStr">
        <is>
          <t>TÖREBODA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11863-2026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46275</v>
      </c>
      <c r="F274" t="inlineStr">
        <is>
          <t>VÄSTRA GÖTALANDS LÄN</t>
        </is>
      </c>
      <c r="G274" t="inlineStr">
        <is>
          <t>TÖREBODA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46100</v>
      </c>
      <c r="E275" s="1" t="n">
        <v>46275</v>
      </c>
      <c r="F275" t="inlineStr">
        <is>
          <t>VÄSTRA GÖTALANDS LÄN</t>
        </is>
      </c>
      <c r="G275" t="inlineStr">
        <is>
          <t>TÖREBODA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15567-2026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46106</v>
      </c>
      <c r="E276" s="1" t="n">
        <v>46275</v>
      </c>
      <c r="F276" t="inlineStr">
        <is>
          <t>VÄSTRA GÖTALANDS LÄN</t>
        </is>
      </c>
      <c r="G276" t="inlineStr">
        <is>
          <t>TÖREBODA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46275</v>
      </c>
      <c r="F277" t="inlineStr">
        <is>
          <t>VÄSTRA GÖTALANDS LÄN</t>
        </is>
      </c>
      <c r="G277" t="inlineStr">
        <is>
          <t>TÖREBODA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46275</v>
      </c>
      <c r="F278" t="inlineStr">
        <is>
          <t>VÄSTRA GÖTALANDS LÄN</t>
        </is>
      </c>
      <c r="G278" t="inlineStr">
        <is>
          <t>TÖREBODA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46122</v>
      </c>
      <c r="E279" s="1" t="n">
        <v>46275</v>
      </c>
      <c r="F279" t="inlineStr">
        <is>
          <t>VÄSTRA GÖTALANDS LÄN</t>
        </is>
      </c>
      <c r="G279" t="inlineStr">
        <is>
          <t>TÖREBODA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19685-2026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46134</v>
      </c>
      <c r="E280" s="1" t="n">
        <v>46275</v>
      </c>
      <c r="F280" t="inlineStr">
        <is>
          <t>VÄSTRA GÖTALANDS LÄN</t>
        </is>
      </c>
      <c r="G280" t="inlineStr">
        <is>
          <t>TÖREBODA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19706-2026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46134</v>
      </c>
      <c r="E281" s="1" t="n">
        <v>46275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45750</v>
      </c>
      <c r="E282" s="1" t="n">
        <v>46275</v>
      </c>
      <c r="F282" t="inlineStr">
        <is>
          <t>VÄSTRA GÖTALANDS LÄN</t>
        </is>
      </c>
      <c r="G282" t="inlineStr">
        <is>
          <t>TÖREBODA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46275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54621-2021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44473</v>
      </c>
      <c r="E284" s="1" t="n">
        <v>46275</v>
      </c>
      <c r="F284" t="inlineStr">
        <is>
          <t>VÄSTRA GÖTALANDS LÄN</t>
        </is>
      </c>
      <c r="G284" t="inlineStr">
        <is>
          <t>TÖREBODA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46275</v>
      </c>
      <c r="F285" t="inlineStr">
        <is>
          <t>VÄSTRA GÖTALANDS LÄN</t>
        </is>
      </c>
      <c r="G285" t="inlineStr">
        <is>
          <t>TÖREBODA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46275</v>
      </c>
      <c r="F286" t="inlineStr">
        <is>
          <t>VÄSTRA GÖTALANDS LÄN</t>
        </is>
      </c>
      <c r="G286" t="inlineStr">
        <is>
          <t>TÖREBODA</t>
        </is>
      </c>
      <c r="I286" t="n">
        <v>8.6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46152</v>
      </c>
      <c r="E287" s="1" t="n">
        <v>46275</v>
      </c>
      <c r="F287" t="inlineStr">
        <is>
          <t>VÄSTRA GÖTALANDS LÄN</t>
        </is>
      </c>
      <c r="G287" t="inlineStr">
        <is>
          <t>TÖREBODA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46152</v>
      </c>
      <c r="E288" s="1" t="n">
        <v>46275</v>
      </c>
      <c r="F288" t="inlineStr">
        <is>
          <t>VÄSTRA GÖTALANDS LÄN</t>
        </is>
      </c>
      <c r="G288" t="inlineStr">
        <is>
          <t>TÖREBODA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46152</v>
      </c>
      <c r="E289" s="1" t="n">
        <v>46275</v>
      </c>
      <c r="F289" t="inlineStr">
        <is>
          <t>VÄSTRA GÖTALANDS LÄN</t>
        </is>
      </c>
      <c r="G289" t="inlineStr">
        <is>
          <t>TÖREBODA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46152</v>
      </c>
      <c r="E290" s="1" t="n">
        <v>46275</v>
      </c>
      <c r="F290" t="inlineStr">
        <is>
          <t>VÄSTRA GÖTALANDS LÄN</t>
        </is>
      </c>
      <c r="G290" t="inlineStr">
        <is>
          <t>TÖREBODA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46152</v>
      </c>
      <c r="E291" s="1" t="n">
        <v>46275</v>
      </c>
      <c r="F291" t="inlineStr">
        <is>
          <t>VÄSTRA GÖTALANDS LÄN</t>
        </is>
      </c>
      <c r="G291" t="inlineStr">
        <is>
          <t>TÖREBODA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46152</v>
      </c>
      <c r="E292" s="1" t="n">
        <v>46275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46152</v>
      </c>
      <c r="E293" s="1" t="n">
        <v>46275</v>
      </c>
      <c r="F293" t="inlineStr">
        <is>
          <t>VÄSTRA GÖTALANDS LÄN</t>
        </is>
      </c>
      <c r="G293" t="inlineStr">
        <is>
          <t>TÖREBODA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45665</v>
      </c>
      <c r="E294" s="1" t="n">
        <v>46275</v>
      </c>
      <c r="F294" t="inlineStr">
        <is>
          <t>VÄSTRA GÖTALANDS LÄN</t>
        </is>
      </c>
      <c r="G294" t="inlineStr">
        <is>
          <t>TÖREBODA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45161-2023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45191</v>
      </c>
      <c r="E295" s="1" t="n">
        <v>46275</v>
      </c>
      <c r="F295" t="inlineStr">
        <is>
          <t>VÄSTRA GÖTALANDS LÄN</t>
        </is>
      </c>
      <c r="G295" t="inlineStr">
        <is>
          <t>TÖREBODA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46168</v>
      </c>
      <c r="E296" s="1" t="n">
        <v>46275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46275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59315-2024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46275</v>
      </c>
      <c r="F298" t="inlineStr">
        <is>
          <t>VÄSTRA GÖTALANDS LÄN</t>
        </is>
      </c>
      <c r="G298" t="inlineStr">
        <is>
          <t>TÖREBODA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46275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Övriga statliga verk och myndigheter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46275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46275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46275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46275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46275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46251</v>
      </c>
      <c r="E305" s="1" t="n">
        <v>46275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46275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46275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46275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46275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46275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46268</v>
      </c>
      <c r="E311" s="1" t="n">
        <v>46275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Sveaskog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46275</v>
      </c>
      <c r="F312" t="inlineStr">
        <is>
          <t>VÄSTRA GÖTALANDS LÄN</t>
        </is>
      </c>
      <c r="G312" t="inlineStr">
        <is>
          <t>TÖREBODA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46268</v>
      </c>
      <c r="E313" s="1" t="n">
        <v>46275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46275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46275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46231</v>
      </c>
      <c r="E316" s="1" t="n">
        <v>46275</v>
      </c>
      <c r="F316" t="inlineStr">
        <is>
          <t>VÄSTRA GÖTALANDS LÄN</t>
        </is>
      </c>
      <c r="G316" t="inlineStr">
        <is>
          <t>TÖREBODA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45685</v>
      </c>
      <c r="E317" s="1" t="n">
        <v>46275</v>
      </c>
      <c r="F317" t="inlineStr">
        <is>
          <t>VÄSTRA GÖTALANDS LÄN</t>
        </is>
      </c>
      <c r="G317" t="inlineStr">
        <is>
          <t>TÖREBODA</t>
        </is>
      </c>
      <c r="I317" t="n">
        <v>186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671-2025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46275</v>
      </c>
      <c r="F318" t="inlineStr">
        <is>
          <t>VÄSTRA GÖTALANDS LÄN</t>
        </is>
      </c>
      <c r="G318" t="inlineStr">
        <is>
          <t>TÖREBODA</t>
        </is>
      </c>
      <c r="I318" t="n">
        <v>56.1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670-2025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46275</v>
      </c>
      <c r="F319" t="inlineStr">
        <is>
          <t>VÄSTRA GÖTALANDS LÄN</t>
        </is>
      </c>
      <c r="G319" t="inlineStr">
        <is>
          <t>TÖREBODA</t>
        </is>
      </c>
      <c r="I319" t="n">
        <v>23.4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178-2026</t>
        </is>
      </c>
      <c r="B320" t="inlineStr">
        <is>
          <t>samrådsanmälan</t>
        </is>
      </c>
      <c r="C320" t="inlineStr">
        <is>
          <t>Skogsgödsling</t>
        </is>
      </c>
      <c r="D320" s="1" t="n">
        <v>46045</v>
      </c>
      <c r="E320" s="1" t="n">
        <v>46275</v>
      </c>
      <c r="F320" t="inlineStr">
        <is>
          <t>VÄSTRA GÖTALANDS LÄN</t>
        </is>
      </c>
      <c r="G320" t="inlineStr">
        <is>
          <t>TÖREBODA</t>
        </is>
      </c>
      <c r="I320" t="n">
        <v>12.5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2026-09-10T02:14:32Z</dcterms:created>
  <dcterms:modified xmlns:dcterms="http://purl.org/dc/terms/" xmlns:xsi="http://www.w3.org/2001/XMLSchema-instance" xsi:type="dcterms:W3CDTF">2026-09-10T02:14:32Z</dcterms:modified>
</cp:coreProperties>
</file>