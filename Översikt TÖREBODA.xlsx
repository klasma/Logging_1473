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46296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46296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46296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46296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46296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46296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46296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46296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39659-2024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46296</v>
      </c>
      <c r="F14" t="inlineStr">
        <is>
          <t>VÄSTRA GÖTALANDS LÄN</t>
        </is>
      </c>
      <c r="G14" t="inlineStr">
        <is>
          <t>TÖREBODA</t>
        </is>
      </c>
      <c r="I14" t="n">
        <v>2.4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Slåtterfibbla
Mattlummer</t>
        </is>
      </c>
      <c r="W14">
        <f>HYPERLINK("https://klasma.github.io/Logging_1473/artfynd/A 39659-2024 artfynd.xlsx", "A 39659-2024")</f>
        <v/>
      </c>
      <c r="X14">
        <f>HYPERLINK("https://klasma.github.io/Logging_1473/kartor/A 39659-2024 karta.png", "A 39659-2024")</f>
        <v/>
      </c>
      <c r="Y14">
        <f>HYPERLINK("https://klasma.github.io/Logging_1473/kartor_geotiff/A 39659-2024 georefererad karta.tif", "A 39659-2024")</f>
        <v/>
      </c>
      <c r="AA14">
        <f>HYPERLINK("https://klasma.github.io/Logging_1473/klagomål/A 39659-2024 FSC-klagomål.docx", "A 39659-2024")</f>
        <v/>
      </c>
      <c r="AB14">
        <f>HYPERLINK("https://klasma.github.io/Logging_1473/klagomålsmail/A 39659-2024 FSC-klagomål mail.docx", "A 39659-2024")</f>
        <v/>
      </c>
      <c r="AC14">
        <f>HYPERLINK("https://klasma.github.io/Logging_1473/tillsyn/A 39659-2024 tillsynsbegäran.docx", "A 39659-2024")</f>
        <v/>
      </c>
      <c r="AD14">
        <f>HYPERLINK("https://klasma.github.io/Logging_1473/tillsynsmail/A 39659-2024 tillsynsbegäran mail.docx", "A 39659-2024")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46296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61281-2023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45264</v>
      </c>
      <c r="E16" s="1" t="n">
        <v>46296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Kyrkan</t>
        </is>
      </c>
      <c r="I16" t="n">
        <v>20.8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Vanlig snok</t>
        </is>
      </c>
      <c r="W16">
        <f>HYPERLINK("https://klasma.github.io/Logging_1473/artfynd/A 61281-2023 artfynd.xlsx", "A 61281-2023")</f>
        <v/>
      </c>
      <c r="X16">
        <f>HYPERLINK("https://klasma.github.io/Logging_1473/kartor/A 61281-2023 karta.png", "A 61281-2023")</f>
        <v/>
      </c>
      <c r="Y16">
        <f>HYPERLINK("https://klasma.github.io/Logging_1473/kartor_geotiff/A 61281-2023 georefererad karta.tif", "A 61281-2023")</f>
        <v/>
      </c>
      <c r="AA16">
        <f>HYPERLINK("https://klasma.github.io/Logging_1473/klagomål/A 61281-2023 FSC-klagomål.docx", "A 61281-2023")</f>
        <v/>
      </c>
      <c r="AB16">
        <f>HYPERLINK("https://klasma.github.io/Logging_1473/klagomålsmail/A 61281-2023 FSC-klagomål mail.docx", "A 61281-2023")</f>
        <v/>
      </c>
      <c r="AC16">
        <f>HYPERLINK("https://klasma.github.io/Logging_1473/tillsyn/A 61281-2023 tillsynsbegäran.docx", "A 61281-2023")</f>
        <v/>
      </c>
      <c r="AD16">
        <f>HYPERLINK("https://klasma.github.io/Logging_1473/tillsynsmail/A 61281-2023 tillsynsbegäran mail.docx", "A 61281-2023")</f>
        <v/>
      </c>
      <c r="AE16">
        <f>HYPERLINK("https://klasma.github.io/Logging_1473/fåglar/A 61281-2023 prioriterade fågelarter.docx", "A 61281-2023")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46296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Björksplintborre
Jättesvampmal</t>
        </is>
      </c>
      <c r="W17">
        <f>HYPERLINK("https://klasma.github.io/Logging_1473/artfynd/A 11692-2025 artfynd.xlsx", "A 11692-2025")</f>
        <v/>
      </c>
      <c r="X17">
        <f>HYPERLINK("https://klasma.github.io/Logging_1473/kartor/A 11692-2025 karta.png", "A 11692-2025")</f>
        <v/>
      </c>
      <c r="Y17">
        <f>HYPERLINK("https://klasma.github.io/Logging_1473/kartor_geotiff/A 11692-2025 georefererad karta.tif", "A 11692-2025")</f>
        <v/>
      </c>
      <c r="AA17">
        <f>HYPERLINK("https://klasma.github.io/Logging_1473/klagomål/A 11692-2025 FSC-klagomål.docx", "A 11692-2025")</f>
        <v/>
      </c>
      <c r="AB17">
        <f>HYPERLINK("https://klasma.github.io/Logging_1473/klagomålsmail/A 11692-2025 FSC-klagomål mail.docx", "A 11692-2025")</f>
        <v/>
      </c>
      <c r="AC17">
        <f>HYPERLINK("https://klasma.github.io/Logging_1473/tillsyn/A 11692-2025 tillsynsbegäran.docx", "A 11692-2025")</f>
        <v/>
      </c>
      <c r="AD17">
        <f>HYPERLINK("https://klasma.github.io/Logging_1473/tillsynsmail/A 11692-2025 tillsynsbegäran mail.docx", "A 11692-2025")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46296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46296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46296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46296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1591-2023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46296</v>
      </c>
      <c r="F22" t="inlineStr">
        <is>
          <t>VÄSTRA GÖTALANDS LÄN</t>
        </is>
      </c>
      <c r="G22" t="inlineStr">
        <is>
          <t>TÖREBODA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Grantaggsvamp</t>
        </is>
      </c>
      <c r="W22">
        <f>HYPERLINK("https://klasma.github.io/Logging_1473/artfynd/A 1591-2023 artfynd.xlsx", "A 1591-2023")</f>
        <v/>
      </c>
      <c r="X22">
        <f>HYPERLINK("https://klasma.github.io/Logging_1473/kartor/A 1591-2023 karta.png", "A 1591-2023")</f>
        <v/>
      </c>
      <c r="Y22">
        <f>HYPERLINK("https://klasma.github.io/Logging_1473/kartor_geotiff/A 1591-2023 georefererad karta.tif", "A 1591-2023")</f>
        <v/>
      </c>
      <c r="AA22">
        <f>HYPERLINK("https://klasma.github.io/Logging_1473/klagomål/A 1591-2023 FSC-klagomål.docx", "A 1591-2023")</f>
        <v/>
      </c>
      <c r="AB22">
        <f>HYPERLINK("https://klasma.github.io/Logging_1473/klagomålsmail/A 1591-2023 FSC-klagomål mail.docx", "A 1591-2023")</f>
        <v/>
      </c>
      <c r="AC22">
        <f>HYPERLINK("https://klasma.github.io/Logging_1473/tillsyn/A 1591-2023 tillsynsbegäran.docx", "A 1591-2023")</f>
        <v/>
      </c>
      <c r="AD22">
        <f>HYPERLINK("https://klasma.github.io/Logging_1473/tillsynsmail/A 1591-2023 tillsynsbegäran mail.docx", "A 1591-2023")</f>
        <v/>
      </c>
    </row>
    <row r="23" ht="15" customHeight="1">
      <c r="A23" t="inlineStr">
        <is>
          <t>A 12168-2025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46296</v>
      </c>
      <c r="F23" t="inlineStr">
        <is>
          <t>VÄSTRA GÖTALANDS LÄN</t>
        </is>
      </c>
      <c r="G23" t="inlineStr">
        <is>
          <t>TÖREBODA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HYPERLINK("https://klasma.github.io/Logging_1473/artfynd/A 12168-2025 artfynd.xlsx", "A 12168-2025")</f>
        <v/>
      </c>
      <c r="X23">
        <f>HYPERLINK("https://klasma.github.io/Logging_1473/kartor/A 12168-2025 karta.png", "A 12168-2025")</f>
        <v/>
      </c>
      <c r="Y23">
        <f>HYPERLINK("https://klasma.github.io/Logging_1473/kartor_geotiff/A 12168-2025 georefererad karta.tif", "A 12168-2025")</f>
        <v/>
      </c>
      <c r="AA23">
        <f>HYPERLINK("https://klasma.github.io/Logging_1473/klagomål/A 12168-2025 FSC-klagomål.docx", "A 12168-2025")</f>
        <v/>
      </c>
      <c r="AB23">
        <f>HYPERLINK("https://klasma.github.io/Logging_1473/klagomålsmail/A 12168-2025 FSC-klagomål mail.docx", "A 12168-2025")</f>
        <v/>
      </c>
      <c r="AC23">
        <f>HYPERLINK("https://klasma.github.io/Logging_1473/tillsyn/A 12168-2025 tillsynsbegäran.docx", "A 12168-2025")</f>
        <v/>
      </c>
      <c r="AD23">
        <f>HYPERLINK("https://klasma.github.io/Logging_1473/tillsynsmail/A 12168-2025 tillsynsbegäran mail.docx", "A 12168-2025")</f>
        <v/>
      </c>
      <c r="AE23">
        <f>HYPERLINK("https://klasma.github.io/Logging_1473/fåglar/A 12168-2025 prioriterade fågelarter.docx", "A 12168-2025")</f>
        <v/>
      </c>
    </row>
    <row r="24" ht="15" customHeight="1">
      <c r="A24" t="inlineStr">
        <is>
          <t>A 17540-2025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45757</v>
      </c>
      <c r="E24" s="1" t="n">
        <v>46296</v>
      </c>
      <c r="F24" t="inlineStr">
        <is>
          <t>VÄSTRA GÖTALANDS LÄN</t>
        </is>
      </c>
      <c r="G24" t="inlineStr">
        <is>
          <t>TÖREBODA</t>
        </is>
      </c>
      <c r="I24" t="n">
        <v>3.5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Vattenfladdermus</t>
        </is>
      </c>
      <c r="W24">
        <f>HYPERLINK("https://klasma.github.io/Logging_1473/artfynd/A 17540-2025 artfynd.xlsx", "A 17540-2025")</f>
        <v/>
      </c>
      <c r="X24">
        <f>HYPERLINK("https://klasma.github.io/Logging_1473/kartor/A 17540-2025 karta.png", "A 17540-2025")</f>
        <v/>
      </c>
      <c r="Y24">
        <f>HYPERLINK("https://klasma.github.io/Logging_1473/kartor_geotiff/A 17540-2025 georefererad karta.tif", "A 17540-2025")</f>
        <v/>
      </c>
      <c r="AA24">
        <f>HYPERLINK("https://klasma.github.io/Logging_1473/klagomål/A 17540-2025 FSC-klagomål.docx", "A 17540-2025")</f>
        <v/>
      </c>
      <c r="AB24">
        <f>HYPERLINK("https://klasma.github.io/Logging_1473/klagomålsmail/A 17540-2025 FSC-klagomål mail.docx", "A 17540-2025")</f>
        <v/>
      </c>
      <c r="AC24">
        <f>HYPERLINK("https://klasma.github.io/Logging_1473/tillsyn/A 17540-2025 tillsynsbegäran.docx", "A 17540-2025")</f>
        <v/>
      </c>
      <c r="AD24">
        <f>HYPERLINK("https://klasma.github.io/Logging_1473/tillsynsmail/A 17540-2025 tillsynsbegäran mail.docx", "A 17540-2025")</f>
        <v/>
      </c>
    </row>
    <row r="25" ht="15" customHeight="1">
      <c r="A25" t="inlineStr">
        <is>
          <t>A 6160-2023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46296</v>
      </c>
      <c r="F25" t="inlineStr">
        <is>
          <t>VÄSTRA GÖTALANDS LÄN</t>
        </is>
      </c>
      <c r="G25" t="inlineStr">
        <is>
          <t>TÖREBODA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Havsörn</t>
        </is>
      </c>
      <c r="W25">
        <f>HYPERLINK("https://klasma.github.io/Logging_1473/artfynd/A 6160-2023 artfynd.xlsx", "A 6160-2023")</f>
        <v/>
      </c>
      <c r="X25">
        <f>HYPERLINK("https://klasma.github.io/Logging_1473/kartor/A 6160-2023 karta.png", "A 6160-2023")</f>
        <v/>
      </c>
      <c r="Y25">
        <f>HYPERLINK("https://klasma.github.io/Logging_1473/kartor_geotiff/A 6160-2023 georefererad karta.tif", "A 6160-2023")</f>
        <v/>
      </c>
      <c r="AA25">
        <f>HYPERLINK("https://klasma.github.io/Logging_1473/klagomål/A 6160-2023 FSC-klagomål.docx", "A 6160-2023")</f>
        <v/>
      </c>
      <c r="AB25">
        <f>HYPERLINK("https://klasma.github.io/Logging_1473/klagomålsmail/A 6160-2023 FSC-klagomål mail.docx", "A 6160-2023")</f>
        <v/>
      </c>
      <c r="AC25">
        <f>HYPERLINK("https://klasma.github.io/Logging_1473/tillsyn/A 6160-2023 tillsynsbegäran.docx", "A 6160-2023")</f>
        <v/>
      </c>
      <c r="AD25">
        <f>HYPERLINK("https://klasma.github.io/Logging_1473/tillsynsmail/A 6160-2023 tillsynsbegäran mail.docx", "A 6160-2023")</f>
        <v/>
      </c>
      <c r="AE25">
        <f>HYPERLINK("https://klasma.github.io/Logging_1473/fåglar/A 6160-2023 prioriterade fågelarter.docx", "A 6160-2023")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46296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14755-2025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45742</v>
      </c>
      <c r="E27" s="1" t="n">
        <v>46296</v>
      </c>
      <c r="F27" t="inlineStr">
        <is>
          <t>VÄSTRA GÖTALANDS LÄN</t>
        </is>
      </c>
      <c r="G27" t="inlineStr">
        <is>
          <t>TÖREBODA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Mattlummer</t>
        </is>
      </c>
      <c r="W27">
        <f>HYPERLINK("https://klasma.github.io/Logging_1473/artfynd/A 14755-2025 artfynd.xlsx", "A 14755-2025")</f>
        <v/>
      </c>
      <c r="X27">
        <f>HYPERLINK("https://klasma.github.io/Logging_1473/kartor/A 14755-2025 karta.png", "A 14755-2025")</f>
        <v/>
      </c>
      <c r="Y27">
        <f>HYPERLINK("https://klasma.github.io/Logging_1473/kartor_geotiff/A 14755-2025 georefererad karta.tif", "A 14755-2025")</f>
        <v/>
      </c>
      <c r="AA27">
        <f>HYPERLINK("https://klasma.github.io/Logging_1473/klagomål/A 14755-2025 FSC-klagomål.docx", "A 14755-2025")</f>
        <v/>
      </c>
      <c r="AB27">
        <f>HYPERLINK("https://klasma.github.io/Logging_1473/klagomålsmail/A 14755-2025 FSC-klagomål mail.docx", "A 14755-2025")</f>
        <v/>
      </c>
      <c r="AC27">
        <f>HYPERLINK("https://klasma.github.io/Logging_1473/tillsyn/A 14755-2025 tillsynsbegäran.docx", "A 14755-2025")</f>
        <v/>
      </c>
      <c r="AD27">
        <f>HYPERLINK("https://klasma.github.io/Logging_1473/tillsynsmail/A 14755-2025 tillsynsbegäran mail.docx", "A 14755-2025")</f>
        <v/>
      </c>
    </row>
    <row r="28" ht="15" customHeight="1">
      <c r="A28" t="inlineStr">
        <is>
          <t>A 9985-2023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44985</v>
      </c>
      <c r="E28" s="1" t="n">
        <v>46296</v>
      </c>
      <c r="F28" t="inlineStr">
        <is>
          <t>VÄSTRA GÖTALANDS LÄN</t>
        </is>
      </c>
      <c r="G28" t="inlineStr">
        <is>
          <t>TÖREBODA</t>
        </is>
      </c>
      <c r="I28" t="n">
        <v>5.5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HYPERLINK("https://klasma.github.io/Logging_1473/artfynd/A 9985-2023 artfynd.xlsx", "A 9985-2023")</f>
        <v/>
      </c>
      <c r="X28">
        <f>HYPERLINK("https://klasma.github.io/Logging_1473/kartor/A 9985-2023 karta.png", "A 9985-2023")</f>
        <v/>
      </c>
      <c r="Y28">
        <f>HYPERLINK("https://klasma.github.io/Logging_1473/kartor_geotiff/A 9985-2023 georefererad karta.tif", "A 9985-2023")</f>
        <v/>
      </c>
      <c r="AA28">
        <f>HYPERLINK("https://klasma.github.io/Logging_1473/klagomål/A 9985-2023 FSC-klagomål.docx", "A 9985-2023")</f>
        <v/>
      </c>
      <c r="AB28">
        <f>HYPERLINK("https://klasma.github.io/Logging_1473/klagomålsmail/A 9985-2023 FSC-klagomål mail.docx", "A 9985-2023")</f>
        <v/>
      </c>
      <c r="AC28">
        <f>HYPERLINK("https://klasma.github.io/Logging_1473/tillsyn/A 9985-2023 tillsynsbegäran.docx", "A 9985-2023")</f>
        <v/>
      </c>
      <c r="AD28">
        <f>HYPERLINK("https://klasma.github.io/Logging_1473/tillsynsmail/A 9985-2023 tillsynsbegäran mail.docx", "A 9985-2023")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46296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49169-2025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45938</v>
      </c>
      <c r="E30" s="1" t="n">
        <v>46296</v>
      </c>
      <c r="F30" t="inlineStr">
        <is>
          <t>VÄSTRA GÖTALANDS LÄN</t>
        </is>
      </c>
      <c r="G30" t="inlineStr">
        <is>
          <t>TÖREBODA</t>
        </is>
      </c>
      <c r="I30" t="n">
        <v>4.5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49169-2025 artfynd.xlsx", "A 49169-2025")</f>
        <v/>
      </c>
      <c r="X30">
        <f>HYPERLINK("https://klasma.github.io/Logging_1473/kartor/A 49169-2025 karta.png", "A 49169-2025")</f>
        <v/>
      </c>
      <c r="Y30">
        <f>HYPERLINK("https://klasma.github.io/Logging_1473/kartor_geotiff/A 49169-2025 georefererad karta.tif", "A 49169-2025")</f>
        <v/>
      </c>
      <c r="AA30">
        <f>HYPERLINK("https://klasma.github.io/Logging_1473/klagomål/A 49169-2025 FSC-klagomål.docx", "A 49169-2025")</f>
        <v/>
      </c>
      <c r="AB30">
        <f>HYPERLINK("https://klasma.github.io/Logging_1473/klagomålsmail/A 49169-2025 FSC-klagomål mail.docx", "A 49169-2025")</f>
        <v/>
      </c>
      <c r="AC30">
        <f>HYPERLINK("https://klasma.github.io/Logging_1473/tillsyn/A 49169-2025 tillsynsbegäran.docx", "A 49169-2025")</f>
        <v/>
      </c>
      <c r="AD30">
        <f>HYPERLINK("https://klasma.github.io/Logging_1473/tillsynsmail/A 49169-2025 tillsynsbegäran mail.docx", "A 49169-2025")</f>
        <v/>
      </c>
      <c r="AE30">
        <f>HYPERLINK("https://klasma.github.io/Logging_1473/fåglar/A 49169-2025 prioriterade fågelarter.docx", "A 49169-2025")</f>
        <v/>
      </c>
    </row>
    <row r="31" ht="15" customHeight="1">
      <c r="A31" t="inlineStr">
        <is>
          <t>A 7772-2022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46296</v>
      </c>
      <c r="F31" t="inlineStr">
        <is>
          <t>VÄSTRA GÖTALANDS LÄN</t>
        </is>
      </c>
      <c r="G31" t="inlineStr">
        <is>
          <t>TÖREBODA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HYPERLINK("https://klasma.github.io/Logging_1473/artfynd/A 7772-2022 artfynd.xlsx", "A 7772-2022")</f>
        <v/>
      </c>
      <c r="X31">
        <f>HYPERLINK("https://klasma.github.io/Logging_1473/kartor/A 7772-2022 karta.png", "A 7772-2022")</f>
        <v/>
      </c>
      <c r="Y31">
        <f>HYPERLINK("https://klasma.github.io/Logging_1473/kartor_geotiff/A 7772-2022 georefererad karta.tif", "A 7772-2022")</f>
        <v/>
      </c>
      <c r="AA31">
        <f>HYPERLINK("https://klasma.github.io/Logging_1473/klagomål/A 7772-2022 FSC-klagomål.docx", "A 7772-2022")</f>
        <v/>
      </c>
      <c r="AB31">
        <f>HYPERLINK("https://klasma.github.io/Logging_1473/klagomålsmail/A 7772-2022 FSC-klagomål mail.docx", "A 7772-2022")</f>
        <v/>
      </c>
      <c r="AC31">
        <f>HYPERLINK("https://klasma.github.io/Logging_1473/tillsyn/A 7772-2022 tillsynsbegäran.docx", "A 7772-2022")</f>
        <v/>
      </c>
      <c r="AD31">
        <f>HYPERLINK("https://klasma.github.io/Logging_1473/tillsynsmail/A 7772-2022 tillsynsbegäran mail.docx", "A 7772-2022")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46296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46296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46296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46296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46296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46296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46296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46296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46296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46296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46296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46296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46296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46296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46296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46296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46296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44719</v>
      </c>
      <c r="E49" s="1" t="n">
        <v>46296</v>
      </c>
      <c r="F49" t="inlineStr">
        <is>
          <t>VÄSTRA GÖTALANDS LÄN</t>
        </is>
      </c>
      <c r="G49" t="inlineStr">
        <is>
          <t>TÖREBODA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46296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69817-2021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46296</v>
      </c>
      <c r="F51" t="inlineStr">
        <is>
          <t>VÄSTRA GÖTALANDS LÄN</t>
        </is>
      </c>
      <c r="G51" t="inlineStr">
        <is>
          <t>TÖREBODA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44601</v>
      </c>
      <c r="E52" s="1" t="n">
        <v>46296</v>
      </c>
      <c r="F52" t="inlineStr">
        <is>
          <t>VÄSTRA GÖTALANDS LÄN</t>
        </is>
      </c>
      <c r="G52" t="inlineStr">
        <is>
          <t>TÖREBODA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46296</v>
      </c>
      <c r="F53" t="inlineStr">
        <is>
          <t>VÄSTRA GÖTALANDS LÄN</t>
        </is>
      </c>
      <c r="G53" t="inlineStr">
        <is>
          <t>TÖREBODA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46296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46296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63182-2021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44507</v>
      </c>
      <c r="E56" s="1" t="n">
        <v>46296</v>
      </c>
      <c r="F56" t="inlineStr">
        <is>
          <t>VÄSTRA GÖTALANDS LÄN</t>
        </is>
      </c>
      <c r="G56" t="inlineStr">
        <is>
          <t>TÖREBODA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69286-2021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46296</v>
      </c>
      <c r="F57" t="inlineStr">
        <is>
          <t>VÄSTRA GÖTALANDS LÄN</t>
        </is>
      </c>
      <c r="G57" t="inlineStr">
        <is>
          <t>TÖREBODA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46296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46296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44852</v>
      </c>
      <c r="E60" s="1" t="n">
        <v>46296</v>
      </c>
      <c r="F60" t="inlineStr">
        <is>
          <t>VÄSTRA GÖTALANDS LÄN</t>
        </is>
      </c>
      <c r="G60" t="inlineStr">
        <is>
          <t>TÖREBODA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46296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Kommuner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46296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6.6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22021-2024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46296</v>
      </c>
      <c r="F63" t="inlineStr">
        <is>
          <t>VÄSTRA GÖTALANDS LÄN</t>
        </is>
      </c>
      <c r="G63" t="inlineStr">
        <is>
          <t>TÖREBODA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46296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46296</v>
      </c>
      <c r="F65" t="inlineStr">
        <is>
          <t>VÄSTRA GÖTALANDS LÄN</t>
        </is>
      </c>
      <c r="G65" t="inlineStr">
        <is>
          <t>TÖREBODA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55285-2023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45237</v>
      </c>
      <c r="E66" s="1" t="n">
        <v>46296</v>
      </c>
      <c r="F66" t="inlineStr">
        <is>
          <t>VÄSTRA GÖTALANDS LÄN</t>
        </is>
      </c>
      <c r="G66" t="inlineStr">
        <is>
          <t>TÖREBODA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46296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Kyrkan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44579</v>
      </c>
      <c r="E68" s="1" t="n">
        <v>46296</v>
      </c>
      <c r="F68" t="inlineStr">
        <is>
          <t>VÄSTRA GÖTALANDS LÄN</t>
        </is>
      </c>
      <c r="G68" t="inlineStr">
        <is>
          <t>TÖREBODA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46296</v>
      </c>
      <c r="F69" t="inlineStr">
        <is>
          <t>VÄSTRA GÖTALANDS LÄN</t>
        </is>
      </c>
      <c r="G69" t="inlineStr">
        <is>
          <t>TÖREBODA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46296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Övriga statliga verk och myndigheter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45049</v>
      </c>
      <c r="E71" s="1" t="n">
        <v>46296</v>
      </c>
      <c r="F71" t="inlineStr">
        <is>
          <t>VÄSTRA GÖTALANDS LÄN</t>
        </is>
      </c>
      <c r="G71" t="inlineStr">
        <is>
          <t>TÖREBODA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46296</v>
      </c>
      <c r="F72" t="inlineStr">
        <is>
          <t>VÄSTRA GÖTALANDS LÄN</t>
        </is>
      </c>
      <c r="G72" t="inlineStr">
        <is>
          <t>TÖREBODA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45076</v>
      </c>
      <c r="E73" s="1" t="n">
        <v>46296</v>
      </c>
      <c r="F73" t="inlineStr">
        <is>
          <t>VÄSTRA GÖTALANDS LÄN</t>
        </is>
      </c>
      <c r="G73" t="inlineStr">
        <is>
          <t>TÖREBODA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45531</v>
      </c>
      <c r="E74" s="1" t="n">
        <v>46296</v>
      </c>
      <c r="F74" t="inlineStr">
        <is>
          <t>VÄSTRA GÖTALANDS LÄN</t>
        </is>
      </c>
      <c r="G74" t="inlineStr">
        <is>
          <t>TÖREBODA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45531</v>
      </c>
      <c r="E75" s="1" t="n">
        <v>46296</v>
      </c>
      <c r="F75" t="inlineStr">
        <is>
          <t>VÄSTRA GÖTALANDS LÄN</t>
        </is>
      </c>
      <c r="G75" t="inlineStr">
        <is>
          <t>TÖREBODA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41627-2022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44827</v>
      </c>
      <c r="E76" s="1" t="n">
        <v>46296</v>
      </c>
      <c r="F76" t="inlineStr">
        <is>
          <t>VÄSTRA GÖTALANDS LÄN</t>
        </is>
      </c>
      <c r="G76" t="inlineStr">
        <is>
          <t>TÖREBODA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41632-2022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44827</v>
      </c>
      <c r="E77" s="1" t="n">
        <v>46296</v>
      </c>
      <c r="F77" t="inlineStr">
        <is>
          <t>VÄSTRA GÖTALANDS LÄN</t>
        </is>
      </c>
      <c r="G77" t="inlineStr">
        <is>
          <t>TÖREBODA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44749</v>
      </c>
      <c r="E78" s="1" t="n">
        <v>46296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48973-2023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45209</v>
      </c>
      <c r="E79" s="1" t="n">
        <v>46296</v>
      </c>
      <c r="F79" t="inlineStr">
        <is>
          <t>VÄSTRA GÖTALANDS LÄN</t>
        </is>
      </c>
      <c r="G79" t="inlineStr">
        <is>
          <t>TÖREBODA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45694</v>
      </c>
      <c r="E80" s="1" t="n">
        <v>46296</v>
      </c>
      <c r="F80" t="inlineStr">
        <is>
          <t>VÄSTRA GÖTALANDS LÄN</t>
        </is>
      </c>
      <c r="G80" t="inlineStr">
        <is>
          <t>TÖREBODA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46296</v>
      </c>
      <c r="F81" t="inlineStr">
        <is>
          <t>VÄSTRA GÖTALANDS LÄN</t>
        </is>
      </c>
      <c r="G81" t="inlineStr">
        <is>
          <t>TÖREBODA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45133</v>
      </c>
      <c r="E82" s="1" t="n">
        <v>46296</v>
      </c>
      <c r="F82" t="inlineStr">
        <is>
          <t>VÄSTRA GÖTALANDS LÄN</t>
        </is>
      </c>
      <c r="G82" t="inlineStr">
        <is>
          <t>TÖREBODA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45457</v>
      </c>
      <c r="E83" s="1" t="n">
        <v>46296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Övriga statliga verk och myndigheter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39652-2024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45552</v>
      </c>
      <c r="E84" s="1" t="n">
        <v>46296</v>
      </c>
      <c r="F84" t="inlineStr">
        <is>
          <t>VÄSTRA GÖTALANDS LÄN</t>
        </is>
      </c>
      <c r="G84" t="inlineStr">
        <is>
          <t>TÖREBODA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27231-2023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45096</v>
      </c>
      <c r="E85" s="1" t="n">
        <v>46296</v>
      </c>
      <c r="F85" t="inlineStr">
        <is>
          <t>VÄSTRA GÖTALANDS LÄN</t>
        </is>
      </c>
      <c r="G85" t="inlineStr">
        <is>
          <t>TÖREBODA</t>
        </is>
      </c>
      <c r="H85" t="inlineStr">
        <is>
          <t>Övriga statliga verk och myndigheter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46296</v>
      </c>
      <c r="F86" t="inlineStr">
        <is>
          <t>VÄSTRA GÖTALANDS LÄN</t>
        </is>
      </c>
      <c r="G86" t="inlineStr">
        <is>
          <t>TÖREBODA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46296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44890</v>
      </c>
      <c r="E88" s="1" t="n">
        <v>46296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Övriga statliga verk och myndigheter</t>
        </is>
      </c>
      <c r="I88" t="n">
        <v>12.6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46296</v>
      </c>
      <c r="F89" t="inlineStr">
        <is>
          <t>VÄSTRA GÖTALANDS LÄN</t>
        </is>
      </c>
      <c r="G89" t="inlineStr">
        <is>
          <t>TÖREBODA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46296</v>
      </c>
      <c r="F90" t="inlineStr">
        <is>
          <t>VÄSTRA GÖTALANDS LÄN</t>
        </is>
      </c>
      <c r="G90" t="inlineStr">
        <is>
          <t>TÖREBODA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44950</v>
      </c>
      <c r="E91" s="1" t="n">
        <v>46296</v>
      </c>
      <c r="F91" t="inlineStr">
        <is>
          <t>VÄSTRA GÖTALANDS LÄN</t>
        </is>
      </c>
      <c r="G91" t="inlineStr">
        <is>
          <t>TÖREBODA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46296</v>
      </c>
      <c r="F92" t="inlineStr">
        <is>
          <t>VÄSTRA GÖTALANDS LÄN</t>
        </is>
      </c>
      <c r="G92" t="inlineStr">
        <is>
          <t>TÖREBODA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46296</v>
      </c>
      <c r="F93" t="inlineStr">
        <is>
          <t>VÄSTRA GÖTALANDS LÄN</t>
        </is>
      </c>
      <c r="G93" t="inlineStr">
        <is>
          <t>TÖREBODA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44987</v>
      </c>
      <c r="E94" s="1" t="n">
        <v>46296</v>
      </c>
      <c r="F94" t="inlineStr">
        <is>
          <t>VÄSTRA GÖTALANDS LÄN</t>
        </is>
      </c>
      <c r="G94" t="inlineStr">
        <is>
          <t>TÖREBODA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46296</v>
      </c>
      <c r="F95" t="inlineStr">
        <is>
          <t>VÄSTRA GÖTALANDS LÄN</t>
        </is>
      </c>
      <c r="G95" t="inlineStr">
        <is>
          <t>TÖREBODA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45328</v>
      </c>
      <c r="E96" s="1" t="n">
        <v>46296</v>
      </c>
      <c r="F96" t="inlineStr">
        <is>
          <t>VÄSTRA GÖTALANDS LÄN</t>
        </is>
      </c>
      <c r="G96" t="inlineStr">
        <is>
          <t>TÖREBODA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11680-2024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45373</v>
      </c>
      <c r="E97" s="1" t="n">
        <v>46296</v>
      </c>
      <c r="F97" t="inlineStr">
        <is>
          <t>VÄSTRA GÖTALANDS LÄN</t>
        </is>
      </c>
      <c r="G97" t="inlineStr">
        <is>
          <t>TÖREBODA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56831-2022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44894</v>
      </c>
      <c r="E98" s="1" t="n">
        <v>46296</v>
      </c>
      <c r="F98" t="inlineStr">
        <is>
          <t>VÄSTRA GÖTALANDS LÄN</t>
        </is>
      </c>
      <c r="G98" t="inlineStr">
        <is>
          <t>TÖREBODA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46296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45051</v>
      </c>
      <c r="E100" s="1" t="n">
        <v>46296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46296</v>
      </c>
      <c r="F101" t="inlineStr">
        <is>
          <t>VÄSTRA GÖTALANDS LÄN</t>
        </is>
      </c>
      <c r="G101" t="inlineStr">
        <is>
          <t>TÖREBODA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46296</v>
      </c>
      <c r="F102" t="inlineStr">
        <is>
          <t>VÄSTRA GÖTALANDS LÄN</t>
        </is>
      </c>
      <c r="G102" t="inlineStr">
        <is>
          <t>TÖREBODA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6442-2025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45699</v>
      </c>
      <c r="E103" s="1" t="n">
        <v>46296</v>
      </c>
      <c r="F103" t="inlineStr">
        <is>
          <t>VÄSTRA GÖTALANDS LÄN</t>
        </is>
      </c>
      <c r="G103" t="inlineStr">
        <is>
          <t>TÖREBODA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46296</v>
      </c>
      <c r="F104" t="inlineStr">
        <is>
          <t>VÄSTRA GÖTALANDS LÄN</t>
        </is>
      </c>
      <c r="G104" t="inlineStr">
        <is>
          <t>TÖREBODA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46296</v>
      </c>
      <c r="F105" t="inlineStr">
        <is>
          <t>VÄSTRA GÖTALANDS LÄN</t>
        </is>
      </c>
      <c r="G105" t="inlineStr">
        <is>
          <t>TÖREBODA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44958</v>
      </c>
      <c r="E106" s="1" t="n">
        <v>46296</v>
      </c>
      <c r="F106" t="inlineStr">
        <is>
          <t>VÄSTRA GÖTALANDS LÄN</t>
        </is>
      </c>
      <c r="G106" t="inlineStr">
        <is>
          <t>TÖREBODA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46296</v>
      </c>
      <c r="F107" t="inlineStr">
        <is>
          <t>VÄSTRA GÖTALANDS LÄN</t>
        </is>
      </c>
      <c r="G107" t="inlineStr">
        <is>
          <t>TÖREBODA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44923</v>
      </c>
      <c r="E108" s="1" t="n">
        <v>46296</v>
      </c>
      <c r="F108" t="inlineStr">
        <is>
          <t>VÄSTRA GÖTALANDS LÄN</t>
        </is>
      </c>
      <c r="G108" t="inlineStr">
        <is>
          <t>TÖREBODA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45341</v>
      </c>
      <c r="E109" s="1" t="n">
        <v>46296</v>
      </c>
      <c r="F109" t="inlineStr">
        <is>
          <t>VÄSTRA GÖTALANDS LÄN</t>
        </is>
      </c>
      <c r="G109" t="inlineStr">
        <is>
          <t>TÖREBODA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46296</v>
      </c>
      <c r="F110" t="inlineStr">
        <is>
          <t>VÄSTRA GÖTALANDS LÄN</t>
        </is>
      </c>
      <c r="G110" t="inlineStr">
        <is>
          <t>TÖREBODA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45556</v>
      </c>
      <c r="E111" s="1" t="n">
        <v>46296</v>
      </c>
      <c r="F111" t="inlineStr">
        <is>
          <t>VÄSTRA GÖTALANDS LÄN</t>
        </is>
      </c>
      <c r="G111" t="inlineStr">
        <is>
          <t>TÖREBODA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46296</v>
      </c>
      <c r="F112" t="inlineStr">
        <is>
          <t>VÄSTRA GÖTALANDS LÄN</t>
        </is>
      </c>
      <c r="G112" t="inlineStr">
        <is>
          <t>TÖREBODA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46296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28183-2022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46296</v>
      </c>
      <c r="F114" t="inlineStr">
        <is>
          <t>VÄSTRA GÖTALANDS LÄN</t>
        </is>
      </c>
      <c r="G114" t="inlineStr">
        <is>
          <t>TÖREBODA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44978</v>
      </c>
      <c r="E115" s="1" t="n">
        <v>46296</v>
      </c>
      <c r="F115" t="inlineStr">
        <is>
          <t>VÄSTRA GÖTALANDS LÄN</t>
        </is>
      </c>
      <c r="G115" t="inlineStr">
        <is>
          <t>TÖREBODA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46296</v>
      </c>
      <c r="F116" t="inlineStr">
        <is>
          <t>VÄSTRA GÖTALANDS LÄN</t>
        </is>
      </c>
      <c r="G116" t="inlineStr">
        <is>
          <t>TÖREBODA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45757</v>
      </c>
      <c r="E117" s="1" t="n">
        <v>46296</v>
      </c>
      <c r="F117" t="inlineStr">
        <is>
          <t>VÄSTRA GÖTALANDS LÄN</t>
        </is>
      </c>
      <c r="G117" t="inlineStr">
        <is>
          <t>TÖREBODA</t>
        </is>
      </c>
      <c r="I117" t="n">
        <v>49.4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46296</v>
      </c>
      <c r="F118" t="inlineStr">
        <is>
          <t>VÄSTRA GÖTALANDS LÄN</t>
        </is>
      </c>
      <c r="G118" t="inlineStr">
        <is>
          <t>TÖREBODA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44924</v>
      </c>
      <c r="E119" s="1" t="n">
        <v>46296</v>
      </c>
      <c r="F119" t="inlineStr">
        <is>
          <t>VÄSTRA GÖTALANDS LÄN</t>
        </is>
      </c>
      <c r="G119" t="inlineStr">
        <is>
          <t>TÖREBODA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44907</v>
      </c>
      <c r="E120" s="1" t="n">
        <v>46296</v>
      </c>
      <c r="F120" t="inlineStr">
        <is>
          <t>VÄSTRA GÖTALANDS LÄN</t>
        </is>
      </c>
      <c r="G120" t="inlineStr">
        <is>
          <t>TÖREBODA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46296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44756</v>
      </c>
      <c r="E122" s="1" t="n">
        <v>46296</v>
      </c>
      <c r="F122" t="inlineStr">
        <is>
          <t>VÄSTRA GÖTALANDS LÄN</t>
        </is>
      </c>
      <c r="G122" t="inlineStr">
        <is>
          <t>TÖREBODA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45562</v>
      </c>
      <c r="E123" s="1" t="n">
        <v>46296</v>
      </c>
      <c r="F123" t="inlineStr">
        <is>
          <t>VÄSTRA GÖTALANDS LÄN</t>
        </is>
      </c>
      <c r="G123" t="inlineStr">
        <is>
          <t>TÖREBODA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46296</v>
      </c>
      <c r="F124" t="inlineStr">
        <is>
          <t>VÄSTRA GÖTALANDS LÄN</t>
        </is>
      </c>
      <c r="G124" t="inlineStr">
        <is>
          <t>TÖREBODA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34862-2023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45142</v>
      </c>
      <c r="E125" s="1" t="n">
        <v>46296</v>
      </c>
      <c r="F125" t="inlineStr">
        <is>
          <t>VÄSTRA GÖTALANDS LÄN</t>
        </is>
      </c>
      <c r="G125" t="inlineStr">
        <is>
          <t>TÖREBODA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44860</v>
      </c>
      <c r="E126" s="1" t="n">
        <v>46296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46296</v>
      </c>
      <c r="F127" t="inlineStr">
        <is>
          <t>VÄSTRA GÖTALANDS LÄN</t>
        </is>
      </c>
      <c r="G127" t="inlineStr">
        <is>
          <t>TÖREBODA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45127</v>
      </c>
      <c r="E128" s="1" t="n">
        <v>46296</v>
      </c>
      <c r="F128" t="inlineStr">
        <is>
          <t>VÄSTRA GÖTALANDS LÄN</t>
        </is>
      </c>
      <c r="G128" t="inlineStr">
        <is>
          <t>TÖREBODA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46296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6446-2025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45699</v>
      </c>
      <c r="E130" s="1" t="n">
        <v>46296</v>
      </c>
      <c r="F130" t="inlineStr">
        <is>
          <t>VÄSTRA GÖTALANDS LÄN</t>
        </is>
      </c>
      <c r="G130" t="inlineStr">
        <is>
          <t>TÖREBODA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44937</v>
      </c>
      <c r="E131" s="1" t="n">
        <v>46296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Övriga statliga verk och myndigheter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46296</v>
      </c>
      <c r="F132" t="inlineStr">
        <is>
          <t>VÄSTRA GÖTALANDS LÄN</t>
        </is>
      </c>
      <c r="G132" t="inlineStr">
        <is>
          <t>TÖREBODA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45077</v>
      </c>
      <c r="E133" s="1" t="n">
        <v>46296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Aktiebolag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45579</v>
      </c>
      <c r="E134" s="1" t="n">
        <v>46296</v>
      </c>
      <c r="F134" t="inlineStr">
        <is>
          <t>VÄSTRA GÖTALANDS LÄN</t>
        </is>
      </c>
      <c r="G134" t="inlineStr">
        <is>
          <t>TÖREBODA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44697</v>
      </c>
      <c r="E135" s="1" t="n">
        <v>46296</v>
      </c>
      <c r="F135" t="inlineStr">
        <is>
          <t>VÄSTRA GÖTALANDS LÄN</t>
        </is>
      </c>
      <c r="G135" t="inlineStr">
        <is>
          <t>TÖREBODA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46296</v>
      </c>
      <c r="F136" t="inlineStr">
        <is>
          <t>VÄSTRA GÖTALANDS LÄN</t>
        </is>
      </c>
      <c r="G136" t="inlineStr">
        <is>
          <t>TÖREBODA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46296</v>
      </c>
      <c r="F137" t="inlineStr">
        <is>
          <t>VÄSTRA GÖTALANDS LÄN</t>
        </is>
      </c>
      <c r="G137" t="inlineStr">
        <is>
          <t>TÖREBODA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45552</v>
      </c>
      <c r="E138" s="1" t="n">
        <v>46296</v>
      </c>
      <c r="F138" t="inlineStr">
        <is>
          <t>VÄSTRA GÖTALANDS LÄN</t>
        </is>
      </c>
      <c r="G138" t="inlineStr">
        <is>
          <t>TÖREBODA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46296</v>
      </c>
      <c r="F139" t="inlineStr">
        <is>
          <t>VÄSTRA GÖTALANDS LÄN</t>
        </is>
      </c>
      <c r="G139" t="inlineStr">
        <is>
          <t>TÖREBODA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45643</v>
      </c>
      <c r="E140" s="1" t="n">
        <v>46296</v>
      </c>
      <c r="F140" t="inlineStr">
        <is>
          <t>VÄSTRA GÖTALANDS LÄN</t>
        </is>
      </c>
      <c r="G140" t="inlineStr">
        <is>
          <t>TÖREBODA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44664</v>
      </c>
      <c r="E141" s="1" t="n">
        <v>46296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44924</v>
      </c>
      <c r="E142" s="1" t="n">
        <v>46296</v>
      </c>
      <c r="F142" t="inlineStr">
        <is>
          <t>VÄSTRA GÖTALANDS LÄN</t>
        </is>
      </c>
      <c r="G142" t="inlineStr">
        <is>
          <t>TÖREBODA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46296</v>
      </c>
      <c r="F143" t="inlineStr">
        <is>
          <t>VÄSTRA GÖTALANDS LÄN</t>
        </is>
      </c>
      <c r="G143" t="inlineStr">
        <is>
          <t>TÖREBODA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46296</v>
      </c>
      <c r="F144" t="inlineStr">
        <is>
          <t>VÄSTRA GÖTALANDS LÄN</t>
        </is>
      </c>
      <c r="G144" t="inlineStr">
        <is>
          <t>TÖREBODA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45344</v>
      </c>
      <c r="E145" s="1" t="n">
        <v>46296</v>
      </c>
      <c r="F145" t="inlineStr">
        <is>
          <t>VÄSTRA GÖTALANDS LÄN</t>
        </is>
      </c>
      <c r="G145" t="inlineStr">
        <is>
          <t>TÖREBODA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28196-2022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44746</v>
      </c>
      <c r="E146" s="1" t="n">
        <v>46296</v>
      </c>
      <c r="F146" t="inlineStr">
        <is>
          <t>VÄSTRA GÖTALANDS LÄN</t>
        </is>
      </c>
      <c r="G146" t="inlineStr">
        <is>
          <t>TÖREBODA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46296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46296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46296</v>
      </c>
      <c r="F149" t="inlineStr">
        <is>
          <t>VÄSTRA GÖTALANDS LÄN</t>
        </is>
      </c>
      <c r="G149" t="inlineStr">
        <is>
          <t>TÖREBODA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46296</v>
      </c>
      <c r="F150" t="inlineStr">
        <is>
          <t>VÄSTRA GÖTALANDS LÄN</t>
        </is>
      </c>
      <c r="G150" t="inlineStr">
        <is>
          <t>TÖREBODA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11730-2025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45727</v>
      </c>
      <c r="E151" s="1" t="n">
        <v>46296</v>
      </c>
      <c r="F151" t="inlineStr">
        <is>
          <t>VÄSTRA GÖTALANDS LÄN</t>
        </is>
      </c>
      <c r="G151" t="inlineStr">
        <is>
          <t>TÖREBODA</t>
        </is>
      </c>
      <c r="I151" t="n">
        <v>11.2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46296</v>
      </c>
      <c r="F152" t="inlineStr">
        <is>
          <t>VÄSTRA GÖTALANDS LÄN</t>
        </is>
      </c>
      <c r="G152" t="inlineStr">
        <is>
          <t>TÖREBODA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45651</v>
      </c>
      <c r="E153" s="1" t="n">
        <v>46296</v>
      </c>
      <c r="F153" t="inlineStr">
        <is>
          <t>VÄSTRA GÖTALANDS LÄN</t>
        </is>
      </c>
      <c r="G153" t="inlineStr">
        <is>
          <t>TÖREBODA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46296</v>
      </c>
      <c r="F154" t="inlineStr">
        <is>
          <t>VÄSTRA GÖTALANDS LÄN</t>
        </is>
      </c>
      <c r="G154" t="inlineStr">
        <is>
          <t>TÖREBODA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46296</v>
      </c>
      <c r="F155" t="inlineStr">
        <is>
          <t>VÄSTRA GÖTALANDS LÄN</t>
        </is>
      </c>
      <c r="G155" t="inlineStr">
        <is>
          <t>TÖREBODA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46296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Kyrkan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46296</v>
      </c>
      <c r="F157" t="inlineStr">
        <is>
          <t>VÄSTRA GÖTALANDS LÄN</t>
        </is>
      </c>
      <c r="G157" t="inlineStr">
        <is>
          <t>TÖREBODA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46296</v>
      </c>
      <c r="F158" t="inlineStr">
        <is>
          <t>VÄSTRA GÖTALANDS LÄN</t>
        </is>
      </c>
      <c r="G158" t="inlineStr">
        <is>
          <t>TÖREBODA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46296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46296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46296</v>
      </c>
      <c r="F161" t="inlineStr">
        <is>
          <t>VÄSTRA GÖTALANDS LÄN</t>
        </is>
      </c>
      <c r="G161" t="inlineStr">
        <is>
          <t>TÖREBODA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46296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46296</v>
      </c>
      <c r="F163" t="inlineStr">
        <is>
          <t>VÄSTRA GÖTALANDS LÄN</t>
        </is>
      </c>
      <c r="G163" t="inlineStr">
        <is>
          <t>TÖREBODA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46296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45493</v>
      </c>
      <c r="E165" s="1" t="n">
        <v>46296</v>
      </c>
      <c r="F165" t="inlineStr">
        <is>
          <t>VÄSTRA GÖTALANDS LÄN</t>
        </is>
      </c>
      <c r="G165" t="inlineStr">
        <is>
          <t>TÖREBODA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46296</v>
      </c>
      <c r="F166" t="inlineStr">
        <is>
          <t>VÄSTRA GÖTALANDS LÄN</t>
        </is>
      </c>
      <c r="G166" t="inlineStr">
        <is>
          <t>TÖREBODA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46296</v>
      </c>
      <c r="F167" t="inlineStr">
        <is>
          <t>VÄSTRA GÖTALANDS LÄN</t>
        </is>
      </c>
      <c r="G167" t="inlineStr">
        <is>
          <t>TÖREBODA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46296</v>
      </c>
      <c r="F168" t="inlineStr">
        <is>
          <t>VÄSTRA GÖTALANDS LÄN</t>
        </is>
      </c>
      <c r="G168" t="inlineStr">
        <is>
          <t>TÖREBODA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45394</v>
      </c>
      <c r="E169" s="1" t="n">
        <v>46296</v>
      </c>
      <c r="F169" t="inlineStr">
        <is>
          <t>VÄSTRA GÖTALANDS LÄN</t>
        </is>
      </c>
      <c r="G169" t="inlineStr">
        <is>
          <t>TÖREBODA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45553</v>
      </c>
      <c r="E170" s="1" t="n">
        <v>46296</v>
      </c>
      <c r="F170" t="inlineStr">
        <is>
          <t>VÄSTRA GÖTALANDS LÄN</t>
        </is>
      </c>
      <c r="G170" t="inlineStr">
        <is>
          <t>TÖREBODA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45439</v>
      </c>
      <c r="E171" s="1" t="n">
        <v>46296</v>
      </c>
      <c r="F171" t="inlineStr">
        <is>
          <t>VÄSTRA GÖTALANDS LÄN</t>
        </is>
      </c>
      <c r="G171" t="inlineStr">
        <is>
          <t>TÖREBODA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46296</v>
      </c>
      <c r="F172" t="inlineStr">
        <is>
          <t>VÄSTRA GÖTALANDS LÄN</t>
        </is>
      </c>
      <c r="G172" t="inlineStr">
        <is>
          <t>TÖREBODA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46296</v>
      </c>
      <c r="F173" t="inlineStr">
        <is>
          <t>VÄSTRA GÖTALANDS LÄN</t>
        </is>
      </c>
      <c r="G173" t="inlineStr">
        <is>
          <t>TÖREBODA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46296</v>
      </c>
      <c r="F174" t="inlineStr">
        <is>
          <t>VÄSTRA GÖTALANDS LÄN</t>
        </is>
      </c>
      <c r="G174" t="inlineStr">
        <is>
          <t>TÖREBODA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45082</v>
      </c>
      <c r="E175" s="1" t="n">
        <v>46296</v>
      </c>
      <c r="F175" t="inlineStr">
        <is>
          <t>VÄSTRA GÖTALANDS LÄN</t>
        </is>
      </c>
      <c r="G175" t="inlineStr">
        <is>
          <t>TÖREBODA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45569</v>
      </c>
      <c r="E176" s="1" t="n">
        <v>46296</v>
      </c>
      <c r="F176" t="inlineStr">
        <is>
          <t>VÄSTRA GÖTALANDS LÄN</t>
        </is>
      </c>
      <c r="G176" t="inlineStr">
        <is>
          <t>TÖREBODA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18690-2025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46296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Kyrkan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45593</v>
      </c>
      <c r="E178" s="1" t="n">
        <v>46296</v>
      </c>
      <c r="F178" t="inlineStr">
        <is>
          <t>VÄSTRA GÖTALANDS LÄN</t>
        </is>
      </c>
      <c r="G178" t="inlineStr">
        <is>
          <t>TÖREBODA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46296</v>
      </c>
      <c r="F179" t="inlineStr">
        <is>
          <t>VÄSTRA GÖTALANDS LÄN</t>
        </is>
      </c>
      <c r="G179" t="inlineStr">
        <is>
          <t>TÖREBODA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45531</v>
      </c>
      <c r="E180" s="1" t="n">
        <v>46296</v>
      </c>
      <c r="F180" t="inlineStr">
        <is>
          <t>VÄSTRA GÖTALANDS LÄN</t>
        </is>
      </c>
      <c r="G180" t="inlineStr">
        <is>
          <t>TÖREBODA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45664</v>
      </c>
      <c r="E181" s="1" t="n">
        <v>46296</v>
      </c>
      <c r="F181" t="inlineStr">
        <is>
          <t>VÄSTRA GÖTALANDS LÄN</t>
        </is>
      </c>
      <c r="G181" t="inlineStr">
        <is>
          <t>TÖREBODA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46296</v>
      </c>
      <c r="F182" t="inlineStr">
        <is>
          <t>VÄSTRA GÖTALANDS LÄN</t>
        </is>
      </c>
      <c r="G182" t="inlineStr">
        <is>
          <t>TÖREBODA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45405</v>
      </c>
      <c r="E183" s="1" t="n">
        <v>46296</v>
      </c>
      <c r="F183" t="inlineStr">
        <is>
          <t>VÄSTRA GÖTALANDS LÄN</t>
        </is>
      </c>
      <c r="G183" t="inlineStr">
        <is>
          <t>TÖREBODA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46296</v>
      </c>
      <c r="F184" t="inlineStr">
        <is>
          <t>VÄSTRA GÖTALANDS LÄN</t>
        </is>
      </c>
      <c r="G184" t="inlineStr">
        <is>
          <t>TÖREBODA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46296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45450</v>
      </c>
      <c r="E186" s="1" t="n">
        <v>46296</v>
      </c>
      <c r="F186" t="inlineStr">
        <is>
          <t>VÄSTRA GÖTALANDS LÄN</t>
        </is>
      </c>
      <c r="G186" t="inlineStr">
        <is>
          <t>TÖREBODA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45268</v>
      </c>
      <c r="E187" s="1" t="n">
        <v>46296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45485</v>
      </c>
      <c r="E188" s="1" t="n">
        <v>46296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Sveaskog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46296</v>
      </c>
      <c r="F189" t="inlineStr">
        <is>
          <t>VÄSTRA GÖTALANDS LÄN</t>
        </is>
      </c>
      <c r="G189" t="inlineStr">
        <is>
          <t>TÖREBODA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46296</v>
      </c>
      <c r="F190" t="inlineStr">
        <is>
          <t>VÄSTRA GÖTALANDS LÄN</t>
        </is>
      </c>
      <c r="G190" t="inlineStr">
        <is>
          <t>TÖREBODA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26941-2025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45811</v>
      </c>
      <c r="E191" s="1" t="n">
        <v>46296</v>
      </c>
      <c r="F191" t="inlineStr">
        <is>
          <t>VÄSTRA GÖTALANDS LÄN</t>
        </is>
      </c>
      <c r="G191" t="inlineStr">
        <is>
          <t>TÖREBODA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46296</v>
      </c>
      <c r="F192" t="inlineStr">
        <is>
          <t>VÄSTRA GÖTALANDS LÄN</t>
        </is>
      </c>
      <c r="G192" t="inlineStr">
        <is>
          <t>TÖREBODA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46296</v>
      </c>
      <c r="F193" t="inlineStr">
        <is>
          <t>VÄSTRA GÖTALANDS LÄN</t>
        </is>
      </c>
      <c r="G193" t="inlineStr">
        <is>
          <t>TÖREBODA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46296</v>
      </c>
      <c r="F194" t="inlineStr">
        <is>
          <t>VÄSTRA GÖTALANDS LÄN</t>
        </is>
      </c>
      <c r="G194" t="inlineStr">
        <is>
          <t>TÖREBODA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46296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Övriga statliga verk och myndigheter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44782</v>
      </c>
      <c r="E196" s="1" t="n">
        <v>46296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46296</v>
      </c>
      <c r="F197" t="inlineStr">
        <is>
          <t>VÄSTRA GÖTALANDS LÄN</t>
        </is>
      </c>
      <c r="G197" t="inlineStr">
        <is>
          <t>TÖREBODA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45664</v>
      </c>
      <c r="E198" s="1" t="n">
        <v>46296</v>
      </c>
      <c r="F198" t="inlineStr">
        <is>
          <t>VÄSTRA GÖTALANDS LÄN</t>
        </is>
      </c>
      <c r="G198" t="inlineStr">
        <is>
          <t>TÖREBODA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46296</v>
      </c>
      <c r="F199" t="inlineStr">
        <is>
          <t>VÄSTRA GÖTALANDS LÄN</t>
        </is>
      </c>
      <c r="G199" t="inlineStr">
        <is>
          <t>TÖREBODA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46296</v>
      </c>
      <c r="F200" t="inlineStr">
        <is>
          <t>VÄSTRA GÖTALANDS LÄN</t>
        </is>
      </c>
      <c r="G200" t="inlineStr">
        <is>
          <t>TÖREBODA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45569</v>
      </c>
      <c r="E201" s="1" t="n">
        <v>46296</v>
      </c>
      <c r="F201" t="inlineStr">
        <is>
          <t>VÄSTRA GÖTALANDS LÄN</t>
        </is>
      </c>
      <c r="G201" t="inlineStr">
        <is>
          <t>TÖREBODA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46296</v>
      </c>
      <c r="F202" t="inlineStr">
        <is>
          <t>VÄSTRA GÖTALANDS LÄN</t>
        </is>
      </c>
      <c r="G202" t="inlineStr">
        <is>
          <t>TÖREBODA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46296</v>
      </c>
      <c r="F203" t="inlineStr">
        <is>
          <t>VÄSTRA GÖTALANDS LÄN</t>
        </is>
      </c>
      <c r="G203" t="inlineStr">
        <is>
          <t>TÖREBODA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63113-2023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46296</v>
      </c>
      <c r="F204" t="inlineStr">
        <is>
          <t>VÄSTRA GÖTALANDS LÄN</t>
        </is>
      </c>
      <c r="G204" t="inlineStr">
        <is>
          <t>TÖREBODA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46296</v>
      </c>
      <c r="F205" t="inlineStr">
        <is>
          <t>VÄSTRA GÖTALANDS LÄN</t>
        </is>
      </c>
      <c r="G205" t="inlineStr">
        <is>
          <t>TÖREBODA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46296</v>
      </c>
      <c r="F206" t="inlineStr">
        <is>
          <t>VÄSTRA GÖTALANDS LÄN</t>
        </is>
      </c>
      <c r="G206" t="inlineStr">
        <is>
          <t>TÖREBODA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45460</v>
      </c>
      <c r="E207" s="1" t="n">
        <v>46296</v>
      </c>
      <c r="F207" t="inlineStr">
        <is>
          <t>VÄSTRA GÖTALANDS LÄN</t>
        </is>
      </c>
      <c r="G207" t="inlineStr">
        <is>
          <t>TÖREBODA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46296</v>
      </c>
      <c r="F208" t="inlineStr">
        <is>
          <t>VÄSTRA GÖTALANDS LÄN</t>
        </is>
      </c>
      <c r="G208" t="inlineStr">
        <is>
          <t>TÖREBODA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46296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46296</v>
      </c>
      <c r="F210" t="inlineStr">
        <is>
          <t>VÄSTRA GÖTALANDS LÄN</t>
        </is>
      </c>
      <c r="G210" t="inlineStr">
        <is>
          <t>TÖREBODA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46296</v>
      </c>
      <c r="F211" t="inlineStr">
        <is>
          <t>VÄSTRA GÖTALANDS LÄN</t>
        </is>
      </c>
      <c r="G211" t="inlineStr">
        <is>
          <t>TÖREBODA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45282</v>
      </c>
      <c r="E212" s="1" t="n">
        <v>46296</v>
      </c>
      <c r="F212" t="inlineStr">
        <is>
          <t>VÄSTRA GÖTALANDS LÄN</t>
        </is>
      </c>
      <c r="G212" t="inlineStr">
        <is>
          <t>TÖREBODA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46296</v>
      </c>
      <c r="F213" t="inlineStr">
        <is>
          <t>VÄSTRA GÖTALANDS LÄN</t>
        </is>
      </c>
      <c r="G213" t="inlineStr">
        <is>
          <t>TÖREBODA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46296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46296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Övriga statliga verk och myndigheter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4194-2024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45324</v>
      </c>
      <c r="E216" s="1" t="n">
        <v>46296</v>
      </c>
      <c r="F216" t="inlineStr">
        <is>
          <t>VÄSTRA GÖTALANDS LÄN</t>
        </is>
      </c>
      <c r="G216" t="inlineStr">
        <is>
          <t>TÖREBODA</t>
        </is>
      </c>
      <c r="I216" t="n">
        <v>28.9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46296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Övriga statliga verk och myndigheter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46296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Övriga statliga verk och myndigheter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46296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Övriga statliga verk och myndigheter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46296</v>
      </c>
      <c r="F220" t="inlineStr">
        <is>
          <t>VÄSTRA GÖTALANDS LÄN</t>
        </is>
      </c>
      <c r="G220" t="inlineStr">
        <is>
          <t>TÖREBODA</t>
        </is>
      </c>
      <c r="H220" t="inlineStr">
        <is>
          <t>Övriga statliga verk och myndigheter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46296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Övriga statliga verk och myndigheter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46296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statliga verk och myndigheter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7680-2023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44972</v>
      </c>
      <c r="E223" s="1" t="n">
        <v>46296</v>
      </c>
      <c r="F223" t="inlineStr">
        <is>
          <t>VÄSTRA GÖTALANDS LÄN</t>
        </is>
      </c>
      <c r="G223" t="inlineStr">
        <is>
          <t>TÖREBODA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44483</v>
      </c>
      <c r="E224" s="1" t="n">
        <v>46296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46296</v>
      </c>
      <c r="F225" t="inlineStr">
        <is>
          <t>VÄSTRA GÖTALANDS LÄN</t>
        </is>
      </c>
      <c r="G225" t="inlineStr">
        <is>
          <t>TÖREBODA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44988</v>
      </c>
      <c r="E226" s="1" t="n">
        <v>46296</v>
      </c>
      <c r="F226" t="inlineStr">
        <is>
          <t>VÄSTRA GÖTALANDS LÄN</t>
        </is>
      </c>
      <c r="G226" t="inlineStr">
        <is>
          <t>TÖREBODA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46296</v>
      </c>
      <c r="F227" t="inlineStr">
        <is>
          <t>VÄSTRA GÖTALANDS LÄN</t>
        </is>
      </c>
      <c r="G227" t="inlineStr">
        <is>
          <t>TÖREBODA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46296</v>
      </c>
      <c r="F228" t="inlineStr">
        <is>
          <t>VÄSTRA GÖTALANDS LÄN</t>
        </is>
      </c>
      <c r="G228" t="inlineStr">
        <is>
          <t>TÖREBODA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45627</v>
      </c>
      <c r="E229" s="1" t="n">
        <v>46296</v>
      </c>
      <c r="F229" t="inlineStr">
        <is>
          <t>VÄSTRA GÖTALANDS LÄN</t>
        </is>
      </c>
      <c r="G229" t="inlineStr">
        <is>
          <t>TÖREBODA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45720</v>
      </c>
      <c r="E230" s="1" t="n">
        <v>46296</v>
      </c>
      <c r="F230" t="inlineStr">
        <is>
          <t>VÄSTRA GÖTALANDS LÄN</t>
        </is>
      </c>
      <c r="G230" t="inlineStr">
        <is>
          <t>TÖREBODA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44792</v>
      </c>
      <c r="E231" s="1" t="n">
        <v>46296</v>
      </c>
      <c r="F231" t="inlineStr">
        <is>
          <t>VÄSTRA GÖTALANDS LÄN</t>
        </is>
      </c>
      <c r="G231" t="inlineStr">
        <is>
          <t>TÖREBODA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46296</v>
      </c>
      <c r="F232" t="inlineStr">
        <is>
          <t>VÄSTRA GÖTALANDS LÄN</t>
        </is>
      </c>
      <c r="G232" t="inlineStr">
        <is>
          <t>TÖREBODA</t>
        </is>
      </c>
      <c r="I232" t="n">
        <v>8.199999999999999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45885</v>
      </c>
      <c r="E233" s="1" t="n">
        <v>46296</v>
      </c>
      <c r="F233" t="inlineStr">
        <is>
          <t>VÄSTRA GÖTALANDS LÄN</t>
        </is>
      </c>
      <c r="G233" t="inlineStr">
        <is>
          <t>TÖREBODA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45885</v>
      </c>
      <c r="E234" s="1" t="n">
        <v>46296</v>
      </c>
      <c r="F234" t="inlineStr">
        <is>
          <t>VÄSTRA GÖTALANDS LÄN</t>
        </is>
      </c>
      <c r="G234" t="inlineStr">
        <is>
          <t>TÖREBODA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46296</v>
      </c>
      <c r="F235" t="inlineStr">
        <is>
          <t>VÄSTRA GÖTALANDS LÄN</t>
        </is>
      </c>
      <c r="G235" t="inlineStr">
        <is>
          <t>TÖREBODA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58226-2022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44901</v>
      </c>
      <c r="E236" s="1" t="n">
        <v>46296</v>
      </c>
      <c r="F236" t="inlineStr">
        <is>
          <t>VÄSTRA GÖTALANDS LÄN</t>
        </is>
      </c>
      <c r="G236" t="inlineStr">
        <is>
          <t>TÖREBODA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45322</v>
      </c>
      <c r="E237" s="1" t="n">
        <v>46296</v>
      </c>
      <c r="F237" t="inlineStr">
        <is>
          <t>VÄSTRA GÖTALANDS LÄN</t>
        </is>
      </c>
      <c r="G237" t="inlineStr">
        <is>
          <t>TÖREBODA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45885</v>
      </c>
      <c r="E238" s="1" t="n">
        <v>46296</v>
      </c>
      <c r="F238" t="inlineStr">
        <is>
          <t>VÄSTRA GÖTALANDS LÄN</t>
        </is>
      </c>
      <c r="G238" t="inlineStr">
        <is>
          <t>TÖREBODA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11683-2024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45373</v>
      </c>
      <c r="E239" s="1" t="n">
        <v>46296</v>
      </c>
      <c r="F239" t="inlineStr">
        <is>
          <t>VÄSTRA GÖTALANDS LÄN</t>
        </is>
      </c>
      <c r="G239" t="inlineStr">
        <is>
          <t>TÖREBODA</t>
        </is>
      </c>
      <c r="I239" t="n">
        <v>23.8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57984-2022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46296</v>
      </c>
      <c r="F240" t="inlineStr">
        <is>
          <t>VÄSTRA GÖTALANDS LÄN</t>
        </is>
      </c>
      <c r="G240" t="inlineStr">
        <is>
          <t>TÖREBODA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45369</v>
      </c>
      <c r="E241" s="1" t="n">
        <v>46296</v>
      </c>
      <c r="F241" t="inlineStr">
        <is>
          <t>VÄSTRA GÖTALANDS LÄN</t>
        </is>
      </c>
      <c r="G241" t="inlineStr">
        <is>
          <t>TÖREBODA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46296</v>
      </c>
      <c r="F242" t="inlineStr">
        <is>
          <t>VÄSTRA GÖTALANDS LÄN</t>
        </is>
      </c>
      <c r="G242" t="inlineStr">
        <is>
          <t>TÖREBODA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46296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46296</v>
      </c>
      <c r="F244" t="inlineStr">
        <is>
          <t>VÄSTRA GÖTALANDS LÄN</t>
        </is>
      </c>
      <c r="G244" t="inlineStr">
        <is>
          <t>TÖREBODA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46296</v>
      </c>
      <c r="F245" t="inlineStr">
        <is>
          <t>VÄSTRA GÖTALANDS LÄN</t>
        </is>
      </c>
      <c r="G245" t="inlineStr">
        <is>
          <t>TÖREBODA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45099</v>
      </c>
      <c r="E246" s="1" t="n">
        <v>46296</v>
      </c>
      <c r="F246" t="inlineStr">
        <is>
          <t>VÄSTRA GÖTALANDS LÄN</t>
        </is>
      </c>
      <c r="G246" t="inlineStr">
        <is>
          <t>TÖREBODA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46296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46296</v>
      </c>
      <c r="F248" t="inlineStr">
        <is>
          <t>VÄSTRA GÖTALANDS LÄN</t>
        </is>
      </c>
      <c r="G248" t="inlineStr">
        <is>
          <t>TÖREBODA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45642</v>
      </c>
      <c r="E249" s="1" t="n">
        <v>46296</v>
      </c>
      <c r="F249" t="inlineStr">
        <is>
          <t>VÄSTRA GÖTALANDS LÄN</t>
        </is>
      </c>
      <c r="G249" t="inlineStr">
        <is>
          <t>TÖREBODA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44571</v>
      </c>
      <c r="E250" s="1" t="n">
        <v>46296</v>
      </c>
      <c r="F250" t="inlineStr">
        <is>
          <t>VÄSTRA GÖTALANDS LÄN</t>
        </is>
      </c>
      <c r="G250" t="inlineStr">
        <is>
          <t>TÖREBODA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52638-2025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45954</v>
      </c>
      <c r="E251" s="1" t="n">
        <v>46296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52639-2025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46296</v>
      </c>
      <c r="F252" t="inlineStr">
        <is>
          <t>VÄSTRA GÖTALANDS LÄN</t>
        </is>
      </c>
      <c r="G252" t="inlineStr">
        <is>
          <t>TÖREBODA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54016-2025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46296</v>
      </c>
      <c r="F253" t="inlineStr">
        <is>
          <t>VÄSTRA GÖTALANDS LÄN</t>
        </is>
      </c>
      <c r="G253" t="inlineStr">
        <is>
          <t>TÖREBODA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45684</v>
      </c>
      <c r="E254" s="1" t="n">
        <v>46296</v>
      </c>
      <c r="F254" t="inlineStr">
        <is>
          <t>VÄSTRA GÖTALANDS LÄN</t>
        </is>
      </c>
      <c r="G254" t="inlineStr">
        <is>
          <t>TÖREBODA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46296</v>
      </c>
      <c r="F255" t="inlineStr">
        <is>
          <t>VÄSTRA GÖTALANDS LÄN</t>
        </is>
      </c>
      <c r="G255" t="inlineStr">
        <is>
          <t>TÖREBODA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45912</v>
      </c>
      <c r="E256" s="1" t="n">
        <v>46296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46296</v>
      </c>
      <c r="F257" t="inlineStr">
        <is>
          <t>VÄSTRA GÖTALANDS LÄN</t>
        </is>
      </c>
      <c r="G257" t="inlineStr">
        <is>
          <t>TÖREBODA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46296</v>
      </c>
      <c r="F258" t="inlineStr">
        <is>
          <t>VÄSTRA GÖTALANDS LÄN</t>
        </is>
      </c>
      <c r="G258" t="inlineStr">
        <is>
          <t>TÖREBODA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55593-2025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45971</v>
      </c>
      <c r="E259" s="1" t="n">
        <v>46296</v>
      </c>
      <c r="F259" t="inlineStr">
        <is>
          <t>VÄSTRA GÖTALANDS LÄN</t>
        </is>
      </c>
      <c r="G259" t="inlineStr">
        <is>
          <t>TÖREBODA</t>
        </is>
      </c>
      <c r="I259" t="n">
        <v>20.8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46296</v>
      </c>
      <c r="F260" t="inlineStr">
        <is>
          <t>VÄSTRA GÖTALANDS LÄN</t>
        </is>
      </c>
      <c r="G260" t="inlineStr">
        <is>
          <t>TÖREBODA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46296</v>
      </c>
      <c r="F261" t="inlineStr">
        <is>
          <t>VÄSTRA GÖTALANDS LÄN</t>
        </is>
      </c>
      <c r="G261" t="inlineStr">
        <is>
          <t>TÖREBODA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46296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55766-2025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45972</v>
      </c>
      <c r="E263" s="1" t="n">
        <v>46296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46296</v>
      </c>
      <c r="F264" t="inlineStr">
        <is>
          <t>VÄSTRA GÖTALANDS LÄN</t>
        </is>
      </c>
      <c r="G264" t="inlineStr">
        <is>
          <t>TÖREBODA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56131-2025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46296</v>
      </c>
      <c r="F265" t="inlineStr">
        <is>
          <t>VÄSTRA GÖTALANDS LÄN</t>
        </is>
      </c>
      <c r="G265" t="inlineStr">
        <is>
          <t>TÖREBODA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46296</v>
      </c>
      <c r="F266" t="inlineStr">
        <is>
          <t>VÄSTRA GÖTALANDS LÄN</t>
        </is>
      </c>
      <c r="G266" t="inlineStr">
        <is>
          <t>TÖREBODA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46296</v>
      </c>
      <c r="F267" t="inlineStr">
        <is>
          <t>VÄSTRA GÖTALANDS LÄN</t>
        </is>
      </c>
      <c r="G267" t="inlineStr">
        <is>
          <t>TÖREBODA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46062</v>
      </c>
      <c r="E268" s="1" t="n">
        <v>46296</v>
      </c>
      <c r="F268" t="inlineStr">
        <is>
          <t>VÄSTRA GÖTALANDS LÄN</t>
        </is>
      </c>
      <c r="G268" t="inlineStr">
        <is>
          <t>TÖREBODA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10818-2026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46296</v>
      </c>
      <c r="F269" t="inlineStr">
        <is>
          <t>VÄSTRA GÖTALANDS LÄN</t>
        </is>
      </c>
      <c r="G269" t="inlineStr">
        <is>
          <t>TÖREBODA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46296</v>
      </c>
      <c r="F270" t="inlineStr">
        <is>
          <t>VÄSTRA GÖTALANDS LÄN</t>
        </is>
      </c>
      <c r="G270" t="inlineStr">
        <is>
          <t>TÖREBODA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46100</v>
      </c>
      <c r="E271" s="1" t="n">
        <v>46296</v>
      </c>
      <c r="F271" t="inlineStr">
        <is>
          <t>VÄSTRA GÖTALANDS LÄN</t>
        </is>
      </c>
      <c r="G271" t="inlineStr">
        <is>
          <t>TÖREBODA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15567-2026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46106</v>
      </c>
      <c r="E272" s="1" t="n">
        <v>46296</v>
      </c>
      <c r="F272" t="inlineStr">
        <is>
          <t>VÄSTRA GÖTALANDS LÄN</t>
        </is>
      </c>
      <c r="G272" t="inlineStr">
        <is>
          <t>TÖREBODA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46296</v>
      </c>
      <c r="F273" t="inlineStr">
        <is>
          <t>VÄSTRA GÖTALANDS LÄN</t>
        </is>
      </c>
      <c r="G273" t="inlineStr">
        <is>
          <t>TÖREBODA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46296</v>
      </c>
      <c r="F274" t="inlineStr">
        <is>
          <t>VÄSTRA GÖTALANDS LÄN</t>
        </is>
      </c>
      <c r="G274" t="inlineStr">
        <is>
          <t>TÖREBODA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46296</v>
      </c>
      <c r="F275" t="inlineStr">
        <is>
          <t>VÄSTRA GÖTALANDS LÄN</t>
        </is>
      </c>
      <c r="G275" t="inlineStr">
        <is>
          <t>TÖREBODA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19706-2026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46134</v>
      </c>
      <c r="E276" s="1" t="n">
        <v>46296</v>
      </c>
      <c r="F276" t="inlineStr">
        <is>
          <t>VÄSTRA GÖTALANDS LÄN</t>
        </is>
      </c>
      <c r="G276" t="inlineStr">
        <is>
          <t>TÖREBODA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46296</v>
      </c>
      <c r="F277" t="inlineStr">
        <is>
          <t>VÄSTRA GÖTALANDS LÄN</t>
        </is>
      </c>
      <c r="G277" t="inlineStr">
        <is>
          <t>TÖREBODA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46296</v>
      </c>
      <c r="F278" t="inlineStr">
        <is>
          <t>VÄSTRA GÖTALANDS LÄN</t>
        </is>
      </c>
      <c r="G278" t="inlineStr">
        <is>
          <t>TÖREBODA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46296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54621-2021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44473</v>
      </c>
      <c r="E280" s="1" t="n">
        <v>46296</v>
      </c>
      <c r="F280" t="inlineStr">
        <is>
          <t>VÄSTRA GÖTALANDS LÄN</t>
        </is>
      </c>
      <c r="G280" t="inlineStr">
        <is>
          <t>TÖREBODA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46296</v>
      </c>
      <c r="F281" t="inlineStr">
        <is>
          <t>VÄSTRA GÖTALANDS LÄN</t>
        </is>
      </c>
      <c r="G281" t="inlineStr">
        <is>
          <t>TÖREBODA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46152</v>
      </c>
      <c r="E282" s="1" t="n">
        <v>46296</v>
      </c>
      <c r="F282" t="inlineStr">
        <is>
          <t>VÄSTRA GÖTALANDS LÄN</t>
        </is>
      </c>
      <c r="G282" t="inlineStr">
        <is>
          <t>TÖREBODA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46296</v>
      </c>
      <c r="F283" t="inlineStr">
        <is>
          <t>VÄSTRA GÖTALANDS LÄN</t>
        </is>
      </c>
      <c r="G283" t="inlineStr">
        <is>
          <t>TÖREBODA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46152</v>
      </c>
      <c r="E284" s="1" t="n">
        <v>46296</v>
      </c>
      <c r="F284" t="inlineStr">
        <is>
          <t>VÄSTRA GÖTALANDS LÄN</t>
        </is>
      </c>
      <c r="G284" t="inlineStr">
        <is>
          <t>TÖREBODA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46152</v>
      </c>
      <c r="E285" s="1" t="n">
        <v>46296</v>
      </c>
      <c r="F285" t="inlineStr">
        <is>
          <t>VÄSTRA GÖTALANDS LÄN</t>
        </is>
      </c>
      <c r="G285" t="inlineStr">
        <is>
          <t>TÖREBODA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46296</v>
      </c>
      <c r="F286" t="inlineStr">
        <is>
          <t>VÄSTRA GÖTALANDS LÄN</t>
        </is>
      </c>
      <c r="G286" t="inlineStr">
        <is>
          <t>TÖREBODA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46296</v>
      </c>
      <c r="F287" t="inlineStr">
        <is>
          <t>VÄSTRA GÖTALANDS LÄN</t>
        </is>
      </c>
      <c r="G287" t="inlineStr">
        <is>
          <t>TÖREBODA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46296</v>
      </c>
      <c r="F288" t="inlineStr">
        <is>
          <t>VÄSTRA GÖTALANDS LÄN</t>
        </is>
      </c>
      <c r="G288" t="inlineStr">
        <is>
          <t>TÖREBODA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46152</v>
      </c>
      <c r="E289" s="1" t="n">
        <v>46296</v>
      </c>
      <c r="F289" t="inlineStr">
        <is>
          <t>VÄSTRA GÖTALANDS LÄN</t>
        </is>
      </c>
      <c r="G289" t="inlineStr">
        <is>
          <t>TÖREBODA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45665</v>
      </c>
      <c r="E290" s="1" t="n">
        <v>46296</v>
      </c>
      <c r="F290" t="inlineStr">
        <is>
          <t>VÄSTRA GÖTALANDS LÄN</t>
        </is>
      </c>
      <c r="G290" t="inlineStr">
        <is>
          <t>TÖREBODA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45637</v>
      </c>
      <c r="E291" s="1" t="n">
        <v>46296</v>
      </c>
      <c r="F291" t="inlineStr">
        <is>
          <t>VÄSTRA GÖTALANDS LÄN</t>
        </is>
      </c>
      <c r="G291" t="inlineStr">
        <is>
          <t>TÖREBODA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45161-2023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45191</v>
      </c>
      <c r="E292" s="1" t="n">
        <v>46296</v>
      </c>
      <c r="F292" t="inlineStr">
        <is>
          <t>VÄSTRA GÖTALANDS LÄN</t>
        </is>
      </c>
      <c r="G292" t="inlineStr">
        <is>
          <t>TÖREBODA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24160-2026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46168</v>
      </c>
      <c r="E293" s="1" t="n">
        <v>46296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46296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44937</v>
      </c>
      <c r="E295" s="1" t="n">
        <v>46296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Övriga statliga verk och myndigheter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46296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46296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46206</v>
      </c>
      <c r="E298" s="1" t="n">
        <v>46296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30539-2026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46210</v>
      </c>
      <c r="E299" s="1" t="n">
        <v>46296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36277-2026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46296</v>
      </c>
      <c r="F300" t="inlineStr">
        <is>
          <t>VÄSTRA GÖTALANDS LÄN</t>
        </is>
      </c>
      <c r="G300" t="inlineStr">
        <is>
          <t>TÖREBODA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46296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46296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46296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46268</v>
      </c>
      <c r="E304" s="1" t="n">
        <v>46296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36386-2026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46296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46296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46231</v>
      </c>
      <c r="E307" s="1" t="n">
        <v>46296</v>
      </c>
      <c r="F307" t="inlineStr">
        <is>
          <t>VÄSTRA GÖTALANDS LÄN</t>
        </is>
      </c>
      <c r="G307" t="inlineStr">
        <is>
          <t>TÖREBODA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46268</v>
      </c>
      <c r="E308" s="1" t="n">
        <v>46296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46296</v>
      </c>
      <c r="F309" t="inlineStr">
        <is>
          <t>VÄSTRA GÖTALANDS LÄN</t>
        </is>
      </c>
      <c r="G309" t="inlineStr">
        <is>
          <t>TÖREBODA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46296</v>
      </c>
      <c r="F310" t="inlineStr">
        <is>
          <t>VÄSTRA GÖTALANDS LÄN</t>
        </is>
      </c>
      <c r="G310" t="inlineStr">
        <is>
          <t>TÖREBODA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39282-2026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46288</v>
      </c>
      <c r="E311" s="1" t="n">
        <v>46296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46296</v>
      </c>
      <c r="F312" t="inlineStr">
        <is>
          <t>VÄSTRA GÖTALANDS LÄN</t>
        </is>
      </c>
      <c r="G312" t="inlineStr">
        <is>
          <t>TÖREBODA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46296</v>
      </c>
      <c r="F313" t="inlineStr">
        <is>
          <t>VÄSTRA GÖTALANDS LÄN</t>
        </is>
      </c>
      <c r="G313" t="inlineStr">
        <is>
          <t>TÖREBODA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46248</v>
      </c>
      <c r="E314" s="1" t="n">
        <v>46296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46296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46296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46296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46296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46296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46296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46296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46296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2026-10-01T02:03:20Z</dcterms:created>
  <dcterms:modified xmlns:dcterms="http://purl.org/dc/terms/" xmlns:xsi="http://www.w3.org/2001/XMLSchema-instance" xsi:type="dcterms:W3CDTF">2026-10-01T02:03:21Z</dcterms:modified>
</cp:coreProperties>
</file>