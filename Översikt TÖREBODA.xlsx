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46267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46267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46267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46267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46267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46267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46267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46267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46267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46267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46267</v>
      </c>
      <c r="F16" t="inlineStr">
        <is>
          <t>VÄSTRA GÖTALANDS LÄN</t>
        </is>
      </c>
      <c r="G16" t="inlineStr">
        <is>
          <t>TÖREBODA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Slåtterfibbla
Mattlummer</t>
        </is>
      </c>
      <c r="W16">
        <f>HYPERLINK("https://klasma.github.io/Logging_1473/artfynd/A 39659-2024 artfynd.xlsx", "A 39659-2024")</f>
        <v/>
      </c>
      <c r="X16">
        <f>HYPERLINK("https://klasma.github.io/Logging_1473/kartor/A 39659-2024 karta.png", "A 39659-2024")</f>
        <v/>
      </c>
      <c r="Y16">
        <f>HYPERLINK("https://klasma.github.io/Logging_1473/kartor_geotiff/A 39659-2024 georefererad karta.tif", "A 39659-2024")</f>
        <v/>
      </c>
      <c r="AA16">
        <f>HYPERLINK("https://klasma.github.io/Logging_1473/klagomål/A 39659-2024 FSC-klagomål.docx", "A 39659-2024")</f>
        <v/>
      </c>
      <c r="AB16">
        <f>HYPERLINK("https://klasma.github.io/Logging_1473/klagomålsmail/A 39659-2024 FSC-klagomål mail.docx", "A 39659-2024")</f>
        <v/>
      </c>
      <c r="AC16">
        <f>HYPERLINK("https://klasma.github.io/Logging_1473/tillsyn/A 39659-2024 tillsynsbegäran.docx", "A 39659-2024")</f>
        <v/>
      </c>
      <c r="AD16">
        <f>HYPERLINK("https://klasma.github.io/Logging_1473/tillsynsmail/A 39659-2024 tillsynsbegäran mail.docx", "A 39659-2024")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46267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46267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46267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46267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46267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46267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Mattlummer</t>
        </is>
      </c>
      <c r="W22">
        <f>HYPERLINK("https://klasma.github.io/Logging_1473/artfynd/A 14755-2025 artfynd.xlsx", "A 14755-2025")</f>
        <v/>
      </c>
      <c r="X22">
        <f>HYPERLINK("https://klasma.github.io/Logging_1473/kartor/A 14755-2025 karta.png", "A 14755-2025")</f>
        <v/>
      </c>
      <c r="Y22">
        <f>HYPERLINK("https://klasma.github.io/Logging_1473/kartor_geotiff/A 14755-2025 georefererad karta.tif", "A 14755-2025")</f>
        <v/>
      </c>
      <c r="AA22">
        <f>HYPERLINK("https://klasma.github.io/Logging_1473/klagomål/A 14755-2025 FSC-klagomål.docx", "A 14755-2025")</f>
        <v/>
      </c>
      <c r="AB22">
        <f>HYPERLINK("https://klasma.github.io/Logging_1473/klagomålsmail/A 14755-2025 FSC-klagomål mail.docx", "A 14755-2025")</f>
        <v/>
      </c>
      <c r="AC22">
        <f>HYPERLINK("https://klasma.github.io/Logging_1473/tillsyn/A 14755-2025 tillsynsbegäran.docx", "A 14755-2025")</f>
        <v/>
      </c>
      <c r="AD22">
        <f>HYPERLINK("https://klasma.github.io/Logging_1473/tillsynsmail/A 14755-2025 tillsynsbegäran mail.docx", "A 14755-2025")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46267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46267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46267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46267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46267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46267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46267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46267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46267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46267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46267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46267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46267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46267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46267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46267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46267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46267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46267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46267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46267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46267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46267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46267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46267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46267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46267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46267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46267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46267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46267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46267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46267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46267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46267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46267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46267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46267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46267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46267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46267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46267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46267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46267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46267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46267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46267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46267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46267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46267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46267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46267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46267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46267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46267</v>
      </c>
      <c r="F78" t="inlineStr">
        <is>
          <t>VÄSTRA GÖTALANDS LÄN</t>
        </is>
      </c>
      <c r="G78" t="inlineStr">
        <is>
          <t>TÖREBODA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46267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46267</v>
      </c>
      <c r="F80" t="inlineStr">
        <is>
          <t>VÄSTRA GÖTALANDS LÄN</t>
        </is>
      </c>
      <c r="G80" t="inlineStr">
        <is>
          <t>TÖREBODA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46267</v>
      </c>
      <c r="F81" t="inlineStr">
        <is>
          <t>VÄSTRA GÖTALANDS LÄN</t>
        </is>
      </c>
      <c r="G81" t="inlineStr">
        <is>
          <t>TÖREBODA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46267</v>
      </c>
      <c r="F82" t="inlineStr">
        <is>
          <t>VÄSTRA GÖTALANDS LÄN</t>
        </is>
      </c>
      <c r="G82" t="inlineStr">
        <is>
          <t>TÖREBODA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46267</v>
      </c>
      <c r="F83" t="inlineStr">
        <is>
          <t>VÄSTRA GÖTALANDS LÄN</t>
        </is>
      </c>
      <c r="G83" t="inlineStr">
        <is>
          <t>TÖREBODA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46267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46267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46267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46267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46267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26941-2025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45811</v>
      </c>
      <c r="E89" s="1" t="n">
        <v>46267</v>
      </c>
      <c r="F89" t="inlineStr">
        <is>
          <t>VÄSTRA GÖTALANDS LÄN</t>
        </is>
      </c>
      <c r="G89" t="inlineStr">
        <is>
          <t>TÖREBODA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46267</v>
      </c>
      <c r="F90" t="inlineStr">
        <is>
          <t>VÄSTRA GÖTALANDS LÄN</t>
        </is>
      </c>
      <c r="G90" t="inlineStr">
        <is>
          <t>TÖREBODA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46267</v>
      </c>
      <c r="F91" t="inlineStr">
        <is>
          <t>VÄSTRA GÖTALANDS LÄN</t>
        </is>
      </c>
      <c r="G91" t="inlineStr">
        <is>
          <t>TÖREBODA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46267</v>
      </c>
      <c r="F92" t="inlineStr">
        <is>
          <t>VÄSTRA GÖTALANDS LÄN</t>
        </is>
      </c>
      <c r="G92" t="inlineStr">
        <is>
          <t>TÖREBODA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46267</v>
      </c>
      <c r="F93" t="inlineStr">
        <is>
          <t>VÄSTRA GÖTALANDS LÄN</t>
        </is>
      </c>
      <c r="G93" t="inlineStr">
        <is>
          <t>TÖREBODA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46267</v>
      </c>
      <c r="F94" t="inlineStr">
        <is>
          <t>VÄSTRA GÖTALANDS LÄN</t>
        </is>
      </c>
      <c r="G94" t="inlineStr">
        <is>
          <t>TÖREBODA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46267</v>
      </c>
      <c r="F95" t="inlineStr">
        <is>
          <t>VÄSTRA GÖTALANDS LÄN</t>
        </is>
      </c>
      <c r="G95" t="inlineStr">
        <is>
          <t>TÖREBODA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46267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43561-2024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46267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46267</v>
      </c>
      <c r="F98" t="inlineStr">
        <is>
          <t>VÄSTRA GÖTALANDS LÄN</t>
        </is>
      </c>
      <c r="G98" t="inlineStr">
        <is>
          <t>TÖREBODA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46267</v>
      </c>
      <c r="F99" t="inlineStr">
        <is>
          <t>VÄSTRA GÖTALANDS LÄN</t>
        </is>
      </c>
      <c r="G99" t="inlineStr">
        <is>
          <t>TÖREBODA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46267</v>
      </c>
      <c r="F100" t="inlineStr">
        <is>
          <t>VÄSTRA GÖTALANDS LÄN</t>
        </is>
      </c>
      <c r="G100" t="inlineStr">
        <is>
          <t>TÖREBODA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45399</v>
      </c>
      <c r="E101" s="1" t="n">
        <v>46267</v>
      </c>
      <c r="F101" t="inlineStr">
        <is>
          <t>VÄSTRA GÖTALANDS LÄN</t>
        </is>
      </c>
      <c r="G101" t="inlineStr">
        <is>
          <t>TÖREBODA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46267</v>
      </c>
      <c r="F102" t="inlineStr">
        <is>
          <t>VÄSTRA GÖTALANDS LÄN</t>
        </is>
      </c>
      <c r="G102" t="inlineStr">
        <is>
          <t>TÖREBODA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45051</v>
      </c>
      <c r="E103" s="1" t="n">
        <v>46267</v>
      </c>
      <c r="F103" t="inlineStr">
        <is>
          <t>VÄSTRA GÖTALANDS LÄN</t>
        </is>
      </c>
      <c r="G103" t="inlineStr">
        <is>
          <t>TÖREBODA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46267</v>
      </c>
      <c r="F104" t="inlineStr">
        <is>
          <t>VÄSTRA GÖTALANDS LÄN</t>
        </is>
      </c>
      <c r="G104" t="inlineStr">
        <is>
          <t>TÖREBODA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46267</v>
      </c>
      <c r="F105" t="inlineStr">
        <is>
          <t>VÄSTRA GÖTALANDS LÄN</t>
        </is>
      </c>
      <c r="G105" t="inlineStr">
        <is>
          <t>TÖREBODA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46267</v>
      </c>
      <c r="F106" t="inlineStr">
        <is>
          <t>VÄSTRA GÖTALANDS LÄN</t>
        </is>
      </c>
      <c r="G106" t="inlineStr">
        <is>
          <t>TÖREBODA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46267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46267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46267</v>
      </c>
      <c r="F109" t="inlineStr">
        <is>
          <t>VÄSTRA GÖTALANDS LÄN</t>
        </is>
      </c>
      <c r="G109" t="inlineStr">
        <is>
          <t>TÖREBODA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46267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46267</v>
      </c>
      <c r="F111" t="inlineStr">
        <is>
          <t>VÄSTRA GÖTALANDS LÄN</t>
        </is>
      </c>
      <c r="G111" t="inlineStr">
        <is>
          <t>TÖREBODA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46267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46267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46267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46267</v>
      </c>
      <c r="F115" t="inlineStr">
        <is>
          <t>VÄSTRA GÖTALANDS LÄN</t>
        </is>
      </c>
      <c r="G115" t="inlineStr">
        <is>
          <t>TÖREBODA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46267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Övriga statliga verk och myndigheter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46267</v>
      </c>
      <c r="F117" t="inlineStr">
        <is>
          <t>VÄSTRA GÖTALANDS LÄN</t>
        </is>
      </c>
      <c r="G117" t="inlineStr">
        <is>
          <t>TÖREBODA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46267</v>
      </c>
      <c r="F118" t="inlineStr">
        <is>
          <t>VÄSTRA GÖTALANDS LÄN</t>
        </is>
      </c>
      <c r="G118" t="inlineStr">
        <is>
          <t>TÖREBODA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46267</v>
      </c>
      <c r="F119" t="inlineStr">
        <is>
          <t>VÄSTRA GÖTALANDS LÄN</t>
        </is>
      </c>
      <c r="G119" t="inlineStr">
        <is>
          <t>TÖREBODA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45741</v>
      </c>
      <c r="E120" s="1" t="n">
        <v>46267</v>
      </c>
      <c r="F120" t="inlineStr">
        <is>
          <t>VÄSTRA GÖTALANDS LÄN</t>
        </is>
      </c>
      <c r="G120" t="inlineStr">
        <is>
          <t>TÖREBODA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46267</v>
      </c>
      <c r="F121" t="inlineStr">
        <is>
          <t>VÄSTRA GÖTALANDS LÄN</t>
        </is>
      </c>
      <c r="G121" t="inlineStr">
        <is>
          <t>TÖREBODA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46267</v>
      </c>
      <c r="F122" t="inlineStr">
        <is>
          <t>VÄSTRA GÖTALANDS LÄN</t>
        </is>
      </c>
      <c r="G122" t="inlineStr">
        <is>
          <t>TÖREBODA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46267</v>
      </c>
      <c r="F123" t="inlineStr">
        <is>
          <t>VÄSTRA GÖTALANDS LÄN</t>
        </is>
      </c>
      <c r="G123" t="inlineStr">
        <is>
          <t>TÖREBODA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46267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46267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46267</v>
      </c>
      <c r="F126" t="inlineStr">
        <is>
          <t>VÄSTRA GÖTALANDS LÄN</t>
        </is>
      </c>
      <c r="G126" t="inlineStr">
        <is>
          <t>TÖREBODA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45720</v>
      </c>
      <c r="E127" s="1" t="n">
        <v>46267</v>
      </c>
      <c r="F127" t="inlineStr">
        <is>
          <t>VÄSTRA GÖTALANDS LÄN</t>
        </is>
      </c>
      <c r="G127" t="inlineStr">
        <is>
          <t>TÖREBODA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46267</v>
      </c>
      <c r="F128" t="inlineStr">
        <is>
          <t>VÄSTRA GÖTALANDS LÄN</t>
        </is>
      </c>
      <c r="G128" t="inlineStr">
        <is>
          <t>TÖREBODA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46267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45077</v>
      </c>
      <c r="E130" s="1" t="n">
        <v>46267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46267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44483</v>
      </c>
      <c r="E132" s="1" t="n">
        <v>46267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46267</v>
      </c>
      <c r="F133" t="inlineStr">
        <is>
          <t>VÄSTRA GÖTALANDS LÄN</t>
        </is>
      </c>
      <c r="G133" t="inlineStr">
        <is>
          <t>TÖREBODA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46267</v>
      </c>
      <c r="F134" t="inlineStr">
        <is>
          <t>VÄSTRA GÖTALANDS LÄN</t>
        </is>
      </c>
      <c r="G134" t="inlineStr">
        <is>
          <t>TÖREBODA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46057</v>
      </c>
      <c r="E135" s="1" t="n">
        <v>46267</v>
      </c>
      <c r="F135" t="inlineStr">
        <is>
          <t>VÄSTRA GÖTALANDS LÄN</t>
        </is>
      </c>
      <c r="G135" t="inlineStr">
        <is>
          <t>TÖREBODA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46267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46267</v>
      </c>
      <c r="F137" t="inlineStr">
        <is>
          <t>VÄSTRA GÖTALANDS LÄN</t>
        </is>
      </c>
      <c r="G137" t="inlineStr">
        <is>
          <t>TÖREBODA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46267</v>
      </c>
      <c r="F138" t="inlineStr">
        <is>
          <t>VÄSTRA GÖTALANDS LÄN</t>
        </is>
      </c>
      <c r="G138" t="inlineStr">
        <is>
          <t>TÖREBODA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46267</v>
      </c>
      <c r="F139" t="inlineStr">
        <is>
          <t>VÄSTRA GÖTALANDS LÄN</t>
        </is>
      </c>
      <c r="G139" t="inlineStr">
        <is>
          <t>TÖREBODA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46267</v>
      </c>
      <c r="F140" t="inlineStr">
        <is>
          <t>VÄSTRA GÖTALANDS LÄN</t>
        </is>
      </c>
      <c r="G140" t="inlineStr">
        <is>
          <t>TÖREBODA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46267</v>
      </c>
      <c r="F141" t="inlineStr">
        <is>
          <t>VÄSTRA GÖTALANDS LÄN</t>
        </is>
      </c>
      <c r="G141" t="inlineStr">
        <is>
          <t>TÖREBODA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46267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46267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6442-2025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45699</v>
      </c>
      <c r="E144" s="1" t="n">
        <v>46267</v>
      </c>
      <c r="F144" t="inlineStr">
        <is>
          <t>VÄSTRA GÖTALANDS LÄN</t>
        </is>
      </c>
      <c r="G144" t="inlineStr">
        <is>
          <t>TÖREBODA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44782</v>
      </c>
      <c r="E145" s="1" t="n">
        <v>46267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46267</v>
      </c>
      <c r="F146" t="inlineStr">
        <is>
          <t>VÄSTRA GÖTALANDS LÄN</t>
        </is>
      </c>
      <c r="G146" t="inlineStr">
        <is>
          <t>TÖREBODA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46267</v>
      </c>
      <c r="F147" t="inlineStr">
        <is>
          <t>VÄSTRA GÖTALANDS LÄN</t>
        </is>
      </c>
      <c r="G147" t="inlineStr">
        <is>
          <t>TÖREBODA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46267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46267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46267</v>
      </c>
      <c r="F150" t="inlineStr">
        <is>
          <t>VÄSTRA GÖTALANDS LÄN</t>
        </is>
      </c>
      <c r="G150" t="inlineStr">
        <is>
          <t>TÖREBODA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46267</v>
      </c>
      <c r="F151" t="inlineStr">
        <is>
          <t>VÄSTRA GÖTALANDS LÄN</t>
        </is>
      </c>
      <c r="G151" t="inlineStr">
        <is>
          <t>TÖREBODA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46267</v>
      </c>
      <c r="F152" t="inlineStr">
        <is>
          <t>VÄSTRA GÖTALANDS LÄN</t>
        </is>
      </c>
      <c r="G152" t="inlineStr">
        <is>
          <t>TÖREBODA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46267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45971</v>
      </c>
      <c r="E154" s="1" t="n">
        <v>46267</v>
      </c>
      <c r="F154" t="inlineStr">
        <is>
          <t>VÄSTRA GÖTALANDS LÄN</t>
        </is>
      </c>
      <c r="G154" t="inlineStr">
        <is>
          <t>TÖREBODA</t>
        </is>
      </c>
      <c r="I154" t="n">
        <v>20.8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46267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46267</v>
      </c>
      <c r="F156" t="inlineStr">
        <is>
          <t>VÄSTRA GÖTALANDS LÄN</t>
        </is>
      </c>
      <c r="G156" t="inlineStr">
        <is>
          <t>TÖREBODA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46267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55766-2025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45972</v>
      </c>
      <c r="E158" s="1" t="n">
        <v>46267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46267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46267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46267</v>
      </c>
      <c r="F161" t="inlineStr">
        <is>
          <t>VÄSTRA GÖTALANDS LÄN</t>
        </is>
      </c>
      <c r="G161" t="inlineStr">
        <is>
          <t>TÖREBODA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46267</v>
      </c>
      <c r="F162" t="inlineStr">
        <is>
          <t>VÄSTRA GÖTALANDS LÄN</t>
        </is>
      </c>
      <c r="G162" t="inlineStr">
        <is>
          <t>TÖREBODA</t>
        </is>
      </c>
      <c r="I162" t="n">
        <v>49.4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46267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46267</v>
      </c>
      <c r="F164" t="inlineStr">
        <is>
          <t>VÄSTRA GÖTALANDS LÄN</t>
        </is>
      </c>
      <c r="G164" t="inlineStr">
        <is>
          <t>TÖREBODA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46267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46267</v>
      </c>
      <c r="F166" t="inlineStr">
        <is>
          <t>VÄSTRA GÖTALANDS LÄN</t>
        </is>
      </c>
      <c r="G166" t="inlineStr">
        <is>
          <t>TÖREBODA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46267</v>
      </c>
      <c r="F167" t="inlineStr">
        <is>
          <t>VÄSTRA GÖTALANDS LÄN</t>
        </is>
      </c>
      <c r="G167" t="inlineStr">
        <is>
          <t>TÖREBODA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44890</v>
      </c>
      <c r="E168" s="1" t="n">
        <v>46267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Övriga statliga verk och myndigheter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46267</v>
      </c>
      <c r="F169" t="inlineStr">
        <is>
          <t>VÄSTRA GÖTALANDS LÄN</t>
        </is>
      </c>
      <c r="G169" t="inlineStr">
        <is>
          <t>TÖREBODA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46267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46267</v>
      </c>
      <c r="F171" t="inlineStr">
        <is>
          <t>VÄSTRA GÖTALANDS LÄN</t>
        </is>
      </c>
      <c r="G171" t="inlineStr">
        <is>
          <t>TÖREBODA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46267</v>
      </c>
      <c r="F172" t="inlineStr">
        <is>
          <t>VÄSTRA GÖTALANDS LÄN</t>
        </is>
      </c>
      <c r="G172" t="inlineStr">
        <is>
          <t>TÖREBODA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46267</v>
      </c>
      <c r="F173" t="inlineStr">
        <is>
          <t>VÄSTRA GÖTALANDS LÄN</t>
        </is>
      </c>
      <c r="G173" t="inlineStr">
        <is>
          <t>TÖREBODA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46267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45309</v>
      </c>
      <c r="E175" s="1" t="n">
        <v>46267</v>
      </c>
      <c r="F175" t="inlineStr">
        <is>
          <t>VÄSTRA GÖTALANDS LÄN</t>
        </is>
      </c>
      <c r="G175" t="inlineStr">
        <is>
          <t>TÖREBODA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46267</v>
      </c>
      <c r="F176" t="inlineStr">
        <is>
          <t>VÄSTRA GÖTALANDS LÄN</t>
        </is>
      </c>
      <c r="G176" t="inlineStr">
        <is>
          <t>TÖREBODA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45133</v>
      </c>
      <c r="E177" s="1" t="n">
        <v>46267</v>
      </c>
      <c r="F177" t="inlineStr">
        <is>
          <t>VÄSTRA GÖTALANDS LÄN</t>
        </is>
      </c>
      <c r="G177" t="inlineStr">
        <is>
          <t>TÖREBODA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46267</v>
      </c>
      <c r="F178" t="inlineStr">
        <is>
          <t>VÄSTRA GÖTALANDS LÄN</t>
        </is>
      </c>
      <c r="G178" t="inlineStr">
        <is>
          <t>TÖREBODA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46267</v>
      </c>
      <c r="F179" t="inlineStr">
        <is>
          <t>VÄSTRA GÖTALANDS LÄN</t>
        </is>
      </c>
      <c r="G179" t="inlineStr">
        <is>
          <t>TÖREBODA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45460</v>
      </c>
      <c r="E180" s="1" t="n">
        <v>46267</v>
      </c>
      <c r="F180" t="inlineStr">
        <is>
          <t>VÄSTRA GÖTALANDS LÄN</t>
        </is>
      </c>
      <c r="G180" t="inlineStr">
        <is>
          <t>TÖREBODA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46106</v>
      </c>
      <c r="E181" s="1" t="n">
        <v>46267</v>
      </c>
      <c r="F181" t="inlineStr">
        <is>
          <t>VÄSTRA GÖTALANDS LÄN</t>
        </is>
      </c>
      <c r="G181" t="inlineStr">
        <is>
          <t>TÖREBODA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46267</v>
      </c>
      <c r="F182" t="inlineStr">
        <is>
          <t>VÄSTRA GÖTALANDS LÄN</t>
        </is>
      </c>
      <c r="G182" t="inlineStr">
        <is>
          <t>TÖREBODA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45556</v>
      </c>
      <c r="E183" s="1" t="n">
        <v>46267</v>
      </c>
      <c r="F183" t="inlineStr">
        <is>
          <t>VÄSTRA GÖTALANDS LÄN</t>
        </is>
      </c>
      <c r="G183" t="inlineStr">
        <is>
          <t>TÖREBODA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46267</v>
      </c>
      <c r="F184" t="inlineStr">
        <is>
          <t>VÄSTRA GÖTALANDS LÄN</t>
        </is>
      </c>
      <c r="G184" t="inlineStr">
        <is>
          <t>TÖREBODA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46267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46267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46267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45457</v>
      </c>
      <c r="E188" s="1" t="n">
        <v>46267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statliga verk och myndigheter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46267</v>
      </c>
      <c r="F189" t="inlineStr">
        <is>
          <t>VÄSTRA GÖTALANDS LÄN</t>
        </is>
      </c>
      <c r="G189" t="inlineStr">
        <is>
          <t>TÖREBODA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46267</v>
      </c>
      <c r="F190" t="inlineStr">
        <is>
          <t>VÄSTRA GÖTALANDS LÄN</t>
        </is>
      </c>
      <c r="G190" t="inlineStr">
        <is>
          <t>TÖREBODA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46267</v>
      </c>
      <c r="F191" t="inlineStr">
        <is>
          <t>VÄSTRA GÖTALANDS LÄN</t>
        </is>
      </c>
      <c r="G191" t="inlineStr">
        <is>
          <t>TÖREBODA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46267</v>
      </c>
      <c r="F192" t="inlineStr">
        <is>
          <t>VÄSTRA GÖTALANDS LÄN</t>
        </is>
      </c>
      <c r="G192" t="inlineStr">
        <is>
          <t>TÖREBODA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46267</v>
      </c>
      <c r="F193" t="inlineStr">
        <is>
          <t>VÄSTRA GÖTALANDS LÄN</t>
        </is>
      </c>
      <c r="G193" t="inlineStr">
        <is>
          <t>TÖREBODA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44664</v>
      </c>
      <c r="E194" s="1" t="n">
        <v>46267</v>
      </c>
      <c r="F194" t="inlineStr">
        <is>
          <t>VÄSTRA GÖTALANDS LÄN</t>
        </is>
      </c>
      <c r="G194" t="inlineStr">
        <is>
          <t>TÖREBODA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46267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46267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46134</v>
      </c>
      <c r="E197" s="1" t="n">
        <v>46267</v>
      </c>
      <c r="F197" t="inlineStr">
        <is>
          <t>VÄSTRA GÖTALANDS LÄN</t>
        </is>
      </c>
      <c r="G197" t="inlineStr">
        <is>
          <t>TÖREBODA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45077</v>
      </c>
      <c r="E198" s="1" t="n">
        <v>46267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Aktiebolag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19706-2026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46134</v>
      </c>
      <c r="E199" s="1" t="n">
        <v>46267</v>
      </c>
      <c r="F199" t="inlineStr">
        <is>
          <t>VÄSTRA GÖTALANDS LÄN</t>
        </is>
      </c>
      <c r="G199" t="inlineStr">
        <is>
          <t>TÖREBODA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46267</v>
      </c>
      <c r="F200" t="inlineStr">
        <is>
          <t>VÄSTRA GÖTALANDS LÄN</t>
        </is>
      </c>
      <c r="G200" t="inlineStr">
        <is>
          <t>TÖREBODA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46267</v>
      </c>
      <c r="F201" t="inlineStr">
        <is>
          <t>VÄSTRA GÖTALANDS LÄN</t>
        </is>
      </c>
      <c r="G201" t="inlineStr">
        <is>
          <t>TÖREBODA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46267</v>
      </c>
      <c r="F202" t="inlineStr">
        <is>
          <t>VÄSTRA GÖTALANDS LÄN</t>
        </is>
      </c>
      <c r="G202" t="inlineStr">
        <is>
          <t>TÖREBODA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46267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Sveaskog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46267</v>
      </c>
      <c r="F204" t="inlineStr">
        <is>
          <t>VÄSTRA GÖTALANDS LÄN</t>
        </is>
      </c>
      <c r="G204" t="inlineStr">
        <is>
          <t>TÖREBODA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46267</v>
      </c>
      <c r="F205" t="inlineStr">
        <is>
          <t>VÄSTRA GÖTALANDS LÄN</t>
        </is>
      </c>
      <c r="G205" t="inlineStr">
        <is>
          <t>TÖREBODA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46267</v>
      </c>
      <c r="F206" t="inlineStr">
        <is>
          <t>VÄSTRA GÖTALANDS LÄN</t>
        </is>
      </c>
      <c r="G206" t="inlineStr">
        <is>
          <t>TÖREBODA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46267</v>
      </c>
      <c r="F207" t="inlineStr">
        <is>
          <t>VÄSTRA GÖTALANDS LÄN</t>
        </is>
      </c>
      <c r="G207" t="inlineStr">
        <is>
          <t>TÖREBODA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46267</v>
      </c>
      <c r="F208" t="inlineStr">
        <is>
          <t>VÄSTRA GÖTALANDS LÄN</t>
        </is>
      </c>
      <c r="G208" t="inlineStr">
        <is>
          <t>TÖREBODA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46267</v>
      </c>
      <c r="F209" t="inlineStr">
        <is>
          <t>VÄSTRA GÖTALANDS LÄN</t>
        </is>
      </c>
      <c r="G209" t="inlineStr">
        <is>
          <t>TÖREBODA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44749</v>
      </c>
      <c r="E210" s="1" t="n">
        <v>46267</v>
      </c>
      <c r="F210" t="inlineStr">
        <is>
          <t>VÄSTRA GÖTALANDS LÄN</t>
        </is>
      </c>
      <c r="G210" t="inlineStr">
        <is>
          <t>TÖREBODA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46267</v>
      </c>
      <c r="F211" t="inlineStr">
        <is>
          <t>VÄSTRA GÖTALANDS LÄN</t>
        </is>
      </c>
      <c r="G211" t="inlineStr">
        <is>
          <t>TÖREBODA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28196-2022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44746</v>
      </c>
      <c r="E212" s="1" t="n">
        <v>46267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46146</v>
      </c>
      <c r="E213" s="1" t="n">
        <v>46267</v>
      </c>
      <c r="F213" t="inlineStr">
        <is>
          <t>VÄSTRA GÖTALANDS LÄN</t>
        </is>
      </c>
      <c r="G213" t="inlineStr">
        <is>
          <t>TÖREBODA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46267</v>
      </c>
      <c r="F214" t="inlineStr">
        <is>
          <t>VÄSTRA GÖTALANDS LÄN</t>
        </is>
      </c>
      <c r="G214" t="inlineStr">
        <is>
          <t>TÖREBODA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46267</v>
      </c>
      <c r="F215" t="inlineStr">
        <is>
          <t>VÄSTRA GÖTALANDS LÄN</t>
        </is>
      </c>
      <c r="G215" t="inlineStr">
        <is>
          <t>TÖREBODA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46267</v>
      </c>
      <c r="F216" t="inlineStr">
        <is>
          <t>VÄSTRA GÖTALANDS LÄN</t>
        </is>
      </c>
      <c r="G216" t="inlineStr">
        <is>
          <t>TÖREBODA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46267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46267</v>
      </c>
      <c r="F218" t="inlineStr">
        <is>
          <t>VÄSTRA GÖTALANDS LÄN</t>
        </is>
      </c>
      <c r="G218" t="inlineStr">
        <is>
          <t>TÖREBODA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46267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46152</v>
      </c>
      <c r="E220" s="1" t="n">
        <v>46267</v>
      </c>
      <c r="F220" t="inlineStr">
        <is>
          <t>VÄSTRA GÖTALANDS LÄN</t>
        </is>
      </c>
      <c r="G220" t="inlineStr">
        <is>
          <t>TÖREBODA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46267</v>
      </c>
      <c r="F221" t="inlineStr">
        <is>
          <t>VÄSTRA GÖTALANDS LÄN</t>
        </is>
      </c>
      <c r="G221" t="inlineStr">
        <is>
          <t>TÖREBODA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46152</v>
      </c>
      <c r="E222" s="1" t="n">
        <v>46267</v>
      </c>
      <c r="F222" t="inlineStr">
        <is>
          <t>VÄSTRA GÖTALANDS LÄN</t>
        </is>
      </c>
      <c r="G222" t="inlineStr">
        <is>
          <t>TÖREBODA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46267</v>
      </c>
      <c r="F223" t="inlineStr">
        <is>
          <t>VÄSTRA GÖTALANDS LÄN</t>
        </is>
      </c>
      <c r="G223" t="inlineStr">
        <is>
          <t>TÖREBODA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46267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46267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46267</v>
      </c>
      <c r="F226" t="inlineStr">
        <is>
          <t>VÄSTRA GÖTALANDS LÄN</t>
        </is>
      </c>
      <c r="G226" t="inlineStr">
        <is>
          <t>TÖREBODA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46267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46267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46267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46267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45651</v>
      </c>
      <c r="E231" s="1" t="n">
        <v>46267</v>
      </c>
      <c r="F231" t="inlineStr">
        <is>
          <t>VÄSTRA GÖTALANDS LÄN</t>
        </is>
      </c>
      <c r="G231" t="inlineStr">
        <is>
          <t>TÖREBODA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46267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46267</v>
      </c>
      <c r="F233" t="inlineStr">
        <is>
          <t>VÄSTRA GÖTALANDS LÄN</t>
        </is>
      </c>
      <c r="G233" t="inlineStr">
        <is>
          <t>TÖREBODA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46267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46267</v>
      </c>
      <c r="F235" t="inlineStr">
        <is>
          <t>VÄSTRA GÖTALANDS LÄN</t>
        </is>
      </c>
      <c r="G235" t="inlineStr">
        <is>
          <t>TÖREBODA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46168</v>
      </c>
      <c r="E236" s="1" t="n">
        <v>46267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46168</v>
      </c>
      <c r="E237" s="1" t="n">
        <v>46267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Sveaskog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46267</v>
      </c>
      <c r="F238" t="inlineStr">
        <is>
          <t>VÄSTRA GÖTALANDS LÄN</t>
        </is>
      </c>
      <c r="G238" t="inlineStr">
        <is>
          <t>TÖREBODA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46267</v>
      </c>
      <c r="F239" t="inlineStr">
        <is>
          <t>VÄSTRA GÖTALANDS LÄN</t>
        </is>
      </c>
      <c r="G239" t="inlineStr">
        <is>
          <t>TÖREBODA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46267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46267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46267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46267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46267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46267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44816</v>
      </c>
      <c r="E246" s="1" t="n">
        <v>46267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Kyrkan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44599</v>
      </c>
      <c r="E247" s="1" t="n">
        <v>46267</v>
      </c>
      <c r="F247" t="inlineStr">
        <is>
          <t>VÄSTRA GÖTALANDS LÄN</t>
        </is>
      </c>
      <c r="G247" t="inlineStr">
        <is>
          <t>TÖREBODA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46267</v>
      </c>
      <c r="F248" t="inlineStr">
        <is>
          <t>VÄSTRA GÖTALANDS LÄN</t>
        </is>
      </c>
      <c r="G248" t="inlineStr">
        <is>
          <t>TÖREBODA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46267</v>
      </c>
      <c r="F249" t="inlineStr">
        <is>
          <t>VÄSTRA GÖTALANDS LÄN</t>
        </is>
      </c>
      <c r="G249" t="inlineStr">
        <is>
          <t>TÖREBODA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46267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46267</v>
      </c>
      <c r="F251" t="inlineStr">
        <is>
          <t>VÄSTRA GÖTALANDS LÄN</t>
        </is>
      </c>
      <c r="G251" t="inlineStr">
        <is>
          <t>TÖREBODA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46267</v>
      </c>
      <c r="F252" t="inlineStr">
        <is>
          <t>VÄSTRA GÖTALANDS LÄN</t>
        </is>
      </c>
      <c r="G252" t="inlineStr">
        <is>
          <t>TÖREBODA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46267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46267</v>
      </c>
      <c r="F254" t="inlineStr">
        <is>
          <t>VÄSTRA GÖTALANDS LÄN</t>
        </is>
      </c>
      <c r="G254" t="inlineStr">
        <is>
          <t>TÖREBODA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46267</v>
      </c>
      <c r="F255" t="inlineStr">
        <is>
          <t>VÄSTRA GÖTALANDS LÄN</t>
        </is>
      </c>
      <c r="G255" t="inlineStr">
        <is>
          <t>TÖREBODA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46267</v>
      </c>
      <c r="F256" t="inlineStr">
        <is>
          <t>VÄSTRA GÖTALANDS LÄN</t>
        </is>
      </c>
      <c r="G256" t="inlineStr">
        <is>
          <t>TÖREBODA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6446-2025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45699</v>
      </c>
      <c r="E257" s="1" t="n">
        <v>46267</v>
      </c>
      <c r="F257" t="inlineStr">
        <is>
          <t>VÄSTRA GÖTALANDS LÄN</t>
        </is>
      </c>
      <c r="G257" t="inlineStr">
        <is>
          <t>TÖREBODA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46267</v>
      </c>
      <c r="F258" t="inlineStr">
        <is>
          <t>VÄSTRA GÖTALANDS LÄN</t>
        </is>
      </c>
      <c r="G258" t="inlineStr">
        <is>
          <t>TÖREBODA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45349</v>
      </c>
      <c r="E259" s="1" t="n">
        <v>46267</v>
      </c>
      <c r="F259" t="inlineStr">
        <is>
          <t>VÄSTRA GÖTALANDS LÄN</t>
        </is>
      </c>
      <c r="G259" t="inlineStr">
        <is>
          <t>TÖREBODA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44987</v>
      </c>
      <c r="E260" s="1" t="n">
        <v>46267</v>
      </c>
      <c r="F260" t="inlineStr">
        <is>
          <t>VÄSTRA GÖTALANDS LÄN</t>
        </is>
      </c>
      <c r="G260" t="inlineStr">
        <is>
          <t>TÖREBODA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46267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46231</v>
      </c>
      <c r="E262" s="1" t="n">
        <v>46267</v>
      </c>
      <c r="F262" t="inlineStr">
        <is>
          <t>VÄSTRA GÖTALANDS LÄN</t>
        </is>
      </c>
      <c r="G262" t="inlineStr">
        <is>
          <t>TÖREBODA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44956</v>
      </c>
      <c r="E263" s="1" t="n">
        <v>46267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44792</v>
      </c>
      <c r="E264" s="1" t="n">
        <v>46267</v>
      </c>
      <c r="F264" t="inlineStr">
        <is>
          <t>VÄSTRA GÖTALANDS LÄN</t>
        </is>
      </c>
      <c r="G264" t="inlineStr">
        <is>
          <t>TÖREBODA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46267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4194-2024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45324</v>
      </c>
      <c r="E266" s="1" t="n">
        <v>46267</v>
      </c>
      <c r="F266" t="inlineStr">
        <is>
          <t>VÄSTRA GÖTALANDS LÄN</t>
        </is>
      </c>
      <c r="G266" t="inlineStr">
        <is>
          <t>TÖREBODA</t>
        </is>
      </c>
      <c r="I266" t="n">
        <v>28.9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46267</v>
      </c>
      <c r="F267" t="inlineStr">
        <is>
          <t>VÄSTRA GÖTALANDS LÄN</t>
        </is>
      </c>
      <c r="G267" t="inlineStr">
        <is>
          <t>TÖREBODA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46267</v>
      </c>
      <c r="F268" t="inlineStr">
        <is>
          <t>VÄSTRA GÖTALANDS LÄN</t>
        </is>
      </c>
      <c r="G268" t="inlineStr">
        <is>
          <t>TÖREBODA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27086-2022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44741</v>
      </c>
      <c r="E269" s="1" t="n">
        <v>46267</v>
      </c>
      <c r="F269" t="inlineStr">
        <is>
          <t>VÄSTRA GÖTALANDS LÄN</t>
        </is>
      </c>
      <c r="G269" t="inlineStr">
        <is>
          <t>TÖREBODA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44894</v>
      </c>
      <c r="E270" s="1" t="n">
        <v>46267</v>
      </c>
      <c r="F270" t="inlineStr">
        <is>
          <t>VÄSTRA GÖTALANDS LÄN</t>
        </is>
      </c>
      <c r="G270" t="inlineStr">
        <is>
          <t>TÖREBODA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45750</v>
      </c>
      <c r="E271" s="1" t="n">
        <v>46267</v>
      </c>
      <c r="F271" t="inlineStr">
        <is>
          <t>VÄSTRA GÖTALANDS LÄN</t>
        </is>
      </c>
      <c r="G271" t="inlineStr">
        <is>
          <t>TÖREBODA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39797-2024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46267</v>
      </c>
      <c r="F272" t="inlineStr">
        <is>
          <t>VÄSTRA GÖTALANDS LÄN</t>
        </is>
      </c>
      <c r="G272" t="inlineStr">
        <is>
          <t>TÖREBODA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46267</v>
      </c>
      <c r="F273" t="inlineStr">
        <is>
          <t>VÄSTRA GÖTALANDS LÄN</t>
        </is>
      </c>
      <c r="G273" t="inlineStr">
        <is>
          <t>TÖREBODA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41627-2022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44827</v>
      </c>
      <c r="E274" s="1" t="n">
        <v>46267</v>
      </c>
      <c r="F274" t="inlineStr">
        <is>
          <t>VÄSTRA GÖTALANDS LÄN</t>
        </is>
      </c>
      <c r="G274" t="inlineStr">
        <is>
          <t>TÖREBODA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41632-2022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46267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45552</v>
      </c>
      <c r="E276" s="1" t="n">
        <v>46267</v>
      </c>
      <c r="F276" t="inlineStr">
        <is>
          <t>VÄSTRA GÖTALANDS LÄN</t>
        </is>
      </c>
      <c r="G276" t="inlineStr">
        <is>
          <t>TÖREBODA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46267</v>
      </c>
      <c r="F277" t="inlineStr">
        <is>
          <t>VÄSTRA GÖTALANDS LÄN</t>
        </is>
      </c>
      <c r="G277" t="inlineStr">
        <is>
          <t>TÖREBODA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46267</v>
      </c>
      <c r="F278" t="inlineStr">
        <is>
          <t>VÄSTRA GÖTALANDS LÄN</t>
        </is>
      </c>
      <c r="G278" t="inlineStr">
        <is>
          <t>TÖREBODA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46267</v>
      </c>
      <c r="F279" t="inlineStr">
        <is>
          <t>VÄSTRA GÖTALANDS LÄN</t>
        </is>
      </c>
      <c r="G279" t="inlineStr">
        <is>
          <t>TÖREBODA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45350</v>
      </c>
      <c r="E280" s="1" t="n">
        <v>46267</v>
      </c>
      <c r="F280" t="inlineStr">
        <is>
          <t>VÄSTRA GÖTALANDS LÄN</t>
        </is>
      </c>
      <c r="G280" t="inlineStr">
        <is>
          <t>TÖREBODA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46248</v>
      </c>
      <c r="E281" s="1" t="n">
        <v>46267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46267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46267</v>
      </c>
      <c r="F283" t="inlineStr">
        <is>
          <t>VÄSTRA GÖTALANDS LÄN</t>
        </is>
      </c>
      <c r="G283" t="inlineStr">
        <is>
          <t>TÖREBODA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46267</v>
      </c>
      <c r="F284" t="inlineStr">
        <is>
          <t>VÄSTRA GÖTALANDS LÄN</t>
        </is>
      </c>
      <c r="G284" t="inlineStr">
        <is>
          <t>TÖREBODA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46267</v>
      </c>
      <c r="F285" t="inlineStr">
        <is>
          <t>VÄSTRA GÖTALANDS LÄN</t>
        </is>
      </c>
      <c r="G285" t="inlineStr">
        <is>
          <t>TÖREBODA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46267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45352</v>
      </c>
      <c r="E287" s="1" t="n">
        <v>46267</v>
      </c>
      <c r="F287" t="inlineStr">
        <is>
          <t>VÄSTRA GÖTALANDS LÄN</t>
        </is>
      </c>
      <c r="G287" t="inlineStr">
        <is>
          <t>TÖREBODA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46267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46267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46267</v>
      </c>
      <c r="F290" t="inlineStr">
        <is>
          <t>VÄSTRA GÖTALANDS LÄN</t>
        </is>
      </c>
      <c r="G290" t="inlineStr">
        <is>
          <t>TÖREBODA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46251</v>
      </c>
      <c r="E291" s="1" t="n">
        <v>46267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46267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46267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45777</v>
      </c>
      <c r="E294" s="1" t="n">
        <v>46267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45581</v>
      </c>
      <c r="E295" s="1" t="n">
        <v>46267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11730-2025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45727</v>
      </c>
      <c r="E296" s="1" t="n">
        <v>46267</v>
      </c>
      <c r="F296" t="inlineStr">
        <is>
          <t>VÄSTRA GÖTALANDS LÄN</t>
        </is>
      </c>
      <c r="G296" t="inlineStr">
        <is>
          <t>TÖREBODA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46267</v>
      </c>
      <c r="F297" t="inlineStr">
        <is>
          <t>VÄSTRA GÖTALANDS LÄN</t>
        </is>
      </c>
      <c r="G297" t="inlineStr">
        <is>
          <t>TÖREBODA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46267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45730</v>
      </c>
      <c r="E299" s="1" t="n">
        <v>46267</v>
      </c>
      <c r="F299" t="inlineStr">
        <is>
          <t>VÄSTRA GÖTALANDS LÄN</t>
        </is>
      </c>
      <c r="G299" t="inlineStr">
        <is>
          <t>TÖREBODA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46267</v>
      </c>
      <c r="F300" t="inlineStr">
        <is>
          <t>VÄSTRA GÖTALANDS LÄN</t>
        </is>
      </c>
      <c r="G300" t="inlineStr">
        <is>
          <t>TÖREBODA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46267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46267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46267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46267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46267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Kyrkan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46267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45493</v>
      </c>
      <c r="E307" s="1" t="n">
        <v>46267</v>
      </c>
      <c r="F307" t="inlineStr">
        <is>
          <t>VÄSTRA GÖTALANDS LÄN</t>
        </is>
      </c>
      <c r="G307" t="inlineStr">
        <is>
          <t>TÖREBODA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46267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46267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46267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46267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46267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2026-09-02T02:03:17Z</dcterms:created>
  <dcterms:modified xmlns:dcterms="http://purl.org/dc/terms/" xmlns:xsi="http://www.w3.org/2001/XMLSchema-instance" xsi:type="dcterms:W3CDTF">2026-09-02T02:03:17Z</dcterms:modified>
</cp:coreProperties>
</file>