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46225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46225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46225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46225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46225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46225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46225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46225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46225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46225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46225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46225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46225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46225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46225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46225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46225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17540-2025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45757</v>
      </c>
      <c r="E19" s="1" t="n">
        <v>46225</v>
      </c>
      <c r="F19" t="inlineStr">
        <is>
          <t>VÄSTRA GÖTALANDS LÄN</t>
        </is>
      </c>
      <c r="G19" t="inlineStr">
        <is>
          <t>TÖREBODA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Vattenfladdermus</t>
        </is>
      </c>
      <c r="W19">
        <f>HYPERLINK("https://klasma.github.io/Logging_1473/artfynd/A 17540-2025 artfynd.xlsx", "A 17540-2025")</f>
        <v/>
      </c>
      <c r="X19">
        <f>HYPERLINK("https://klasma.github.io/Logging_1473/kartor/A 17540-2025 karta.png", "A 17540-2025")</f>
        <v/>
      </c>
      <c r="Y19">
        <f>HYPERLINK("https://klasma.github.io/Logging_1473/kartor_geotiff/A 17540-2025 georefererad karta.tif", "A 17540-2025")</f>
        <v/>
      </c>
      <c r="AA19">
        <f>HYPERLINK("https://klasma.github.io/Logging_1473/klagomål/A 17540-2025 FSC-klagomål.docx", "A 17540-2025")</f>
        <v/>
      </c>
      <c r="AB19">
        <f>HYPERLINK("https://klasma.github.io/Logging_1473/klagomålsmail/A 17540-2025 FSC-klagomål mail.docx", "A 17540-2025")</f>
        <v/>
      </c>
      <c r="AC19">
        <f>HYPERLINK("https://klasma.github.io/Logging_1473/tillsyn/A 17540-2025 tillsynsbegäran.docx", "A 17540-2025")</f>
        <v/>
      </c>
      <c r="AD19">
        <f>HYPERLINK("https://klasma.github.io/Logging_1473/tillsynsmail/A 17540-2025 tillsynsbegäran mail.docx", "A 17540-2025")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46225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46225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46225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46225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46225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7772-2022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46225</v>
      </c>
      <c r="F25" t="inlineStr">
        <is>
          <t>VÄSTRA GÖTALANDS LÄN</t>
        </is>
      </c>
      <c r="G25" t="inlineStr">
        <is>
          <t>TÖREBODA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Revlummer</t>
        </is>
      </c>
      <c r="W25">
        <f>HYPERLINK("https://klasma.github.io/Logging_1473/artfynd/A 7772-2022 artfynd.xlsx", "A 7772-2022")</f>
        <v/>
      </c>
      <c r="X25">
        <f>HYPERLINK("https://klasma.github.io/Logging_1473/kartor/A 7772-2022 karta.png", "A 7772-2022")</f>
        <v/>
      </c>
      <c r="Y25">
        <f>HYPERLINK("https://klasma.github.io/Logging_1473/kartor_geotiff/A 7772-2022 georefererad karta.tif", "A 7772-2022")</f>
        <v/>
      </c>
      <c r="AA25">
        <f>HYPERLINK("https://klasma.github.io/Logging_1473/klagomål/A 7772-2022 FSC-klagomål.docx", "A 7772-2022")</f>
        <v/>
      </c>
      <c r="AB25">
        <f>HYPERLINK("https://klasma.github.io/Logging_1473/klagomålsmail/A 7772-2022 FSC-klagomål mail.docx", "A 7772-2022")</f>
        <v/>
      </c>
      <c r="AC25">
        <f>HYPERLINK("https://klasma.github.io/Logging_1473/tillsyn/A 7772-2022 tillsynsbegäran.docx", "A 7772-2022")</f>
        <v/>
      </c>
      <c r="AD25">
        <f>HYPERLINK("https://klasma.github.io/Logging_1473/tillsynsmail/A 7772-2022 tillsynsbegäran mail.docx", "A 7772-2022")</f>
        <v/>
      </c>
    </row>
    <row r="26" ht="15" customHeight="1">
      <c r="A26" t="inlineStr">
        <is>
          <t>A 30816-2026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46212</v>
      </c>
      <c r="E26" s="1" t="n">
        <v>46225</v>
      </c>
      <c r="F26" t="inlineStr">
        <is>
          <t>VÄSTRA GÖTALANDS LÄN</t>
        </is>
      </c>
      <c r="G26" t="inlineStr">
        <is>
          <t>TÖREBODA</t>
        </is>
      </c>
      <c r="H26" t="inlineStr">
        <is>
          <t>Kyrkan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30816-2026 artfynd.xlsx", "A 30816-2026")</f>
        <v/>
      </c>
      <c r="X26">
        <f>HYPERLINK("https://klasma.github.io/Logging_1473/kartor/A 30816-2026 karta.png", "A 30816-2026")</f>
        <v/>
      </c>
      <c r="Y26">
        <f>HYPERLINK("https://klasma.github.io/Logging_1473/kartor_geotiff/A 30816-2026 georefererad karta.tif", "A 30816-2026")</f>
        <v/>
      </c>
      <c r="AA26">
        <f>HYPERLINK("https://klasma.github.io/Logging_1473/klagomål/A 30816-2026 FSC-klagomål.docx", "A 30816-2026")</f>
        <v/>
      </c>
      <c r="AB26">
        <f>HYPERLINK("https://klasma.github.io/Logging_1473/klagomålsmail/A 30816-2026 FSC-klagomål mail.docx", "A 30816-2026")</f>
        <v/>
      </c>
      <c r="AC26">
        <f>HYPERLINK("https://klasma.github.io/Logging_1473/tillsyn/A 30816-2026 tillsynsbegäran.docx", "A 30816-2026")</f>
        <v/>
      </c>
      <c r="AD26">
        <f>HYPERLINK("https://klasma.github.io/Logging_1473/tillsynsmail/A 30816-2026 tillsynsbegäran mail.docx", "A 30816-2026")</f>
        <v/>
      </c>
      <c r="AE26">
        <f>HYPERLINK("https://klasma.github.io/Logging_1473/fåglar/A 30816-2026 prioriterade fågelarter.docx", "A 30816-2026")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46225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46225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46225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39894-2023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46225</v>
      </c>
      <c r="F30" t="inlineStr">
        <is>
          <t>VÄSTRA GÖTALANDS LÄN</t>
        </is>
      </c>
      <c r="G30" t="inlineStr">
        <is>
          <t>TÖREBODA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HYPERLINK("https://klasma.github.io/Logging_1473/artfynd/A 39894-2023 artfynd.xlsx", "A 39894-2023")</f>
        <v/>
      </c>
      <c r="X30">
        <f>HYPERLINK("https://klasma.github.io/Logging_1473/kartor/A 39894-2023 karta.png", "A 39894-2023")</f>
        <v/>
      </c>
      <c r="Y30">
        <f>HYPERLINK("https://klasma.github.io/Logging_1473/kartor_geotiff/A 39894-2023 georefererad karta.tif", "A 39894-2023")</f>
        <v/>
      </c>
      <c r="AA30">
        <f>HYPERLINK("https://klasma.github.io/Logging_1473/klagomål/A 39894-2023 FSC-klagomål.docx", "A 39894-2023")</f>
        <v/>
      </c>
      <c r="AB30">
        <f>HYPERLINK("https://klasma.github.io/Logging_1473/klagomålsmail/A 39894-2023 FSC-klagomål mail.docx", "A 39894-2023")</f>
        <v/>
      </c>
      <c r="AC30">
        <f>HYPERLINK("https://klasma.github.io/Logging_1473/tillsyn/A 39894-2023 tillsynsbegäran.docx", "A 39894-2023")</f>
        <v/>
      </c>
      <c r="AD30">
        <f>HYPERLINK("https://klasma.github.io/Logging_1473/tillsynsmail/A 39894-2023 tillsynsbegäran mail.docx", "A 39894-2023")</f>
        <v/>
      </c>
      <c r="AE30">
        <f>HYPERLINK("https://klasma.github.io/Logging_1473/fåglar/A 39894-2023 prioriterade fågelarter.docx", "A 39894-2023")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46225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46225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46225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46225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46225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46225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46225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46225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46225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46225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46225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46225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46225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46225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46225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46225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46225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46225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46225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46225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46225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46225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46225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46225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46225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46225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46225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46225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46225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46225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46225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46225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46225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46225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46225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46225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46225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46225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46225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46225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46225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46225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46225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46225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46225</v>
      </c>
      <c r="F75" t="inlineStr">
        <is>
          <t>VÄSTRA GÖTALANDS LÄN</t>
        </is>
      </c>
      <c r="G75" t="inlineStr">
        <is>
          <t>TÖREBODA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46225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46225</v>
      </c>
      <c r="F77" t="inlineStr">
        <is>
          <t>VÄSTRA GÖTALANDS LÄN</t>
        </is>
      </c>
      <c r="G77" t="inlineStr">
        <is>
          <t>TÖREBODA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46225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46225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45341</v>
      </c>
      <c r="E80" s="1" t="n">
        <v>46225</v>
      </c>
      <c r="F80" t="inlineStr">
        <is>
          <t>VÄSTRA GÖTALANDS LÄN</t>
        </is>
      </c>
      <c r="G80" t="inlineStr">
        <is>
          <t>TÖREBODA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44405</v>
      </c>
      <c r="E81" s="1" t="n">
        <v>46225</v>
      </c>
      <c r="F81" t="inlineStr">
        <is>
          <t>VÄSTRA GÖTALANDS LÄN</t>
        </is>
      </c>
      <c r="G81" t="inlineStr">
        <is>
          <t>TÖREBODA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46225</v>
      </c>
      <c r="F82" t="inlineStr">
        <is>
          <t>VÄSTRA GÖTALANDS LÄN</t>
        </is>
      </c>
      <c r="G82" t="inlineStr">
        <is>
          <t>TÖREBODA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46225</v>
      </c>
      <c r="F83" t="inlineStr">
        <is>
          <t>VÄSTRA GÖTALANDS LÄN</t>
        </is>
      </c>
      <c r="G83" t="inlineStr">
        <is>
          <t>TÖREBODA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26941-2025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45811</v>
      </c>
      <c r="E84" s="1" t="n">
        <v>46225</v>
      </c>
      <c r="F84" t="inlineStr">
        <is>
          <t>VÄSTRA GÖTALANDS LÄN</t>
        </is>
      </c>
      <c r="G84" t="inlineStr">
        <is>
          <t>TÖREBODA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46225</v>
      </c>
      <c r="F85" t="inlineStr">
        <is>
          <t>VÄSTRA GÖTALANDS LÄN</t>
        </is>
      </c>
      <c r="G85" t="inlineStr">
        <is>
          <t>TÖREBODA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45885</v>
      </c>
      <c r="E86" s="1" t="n">
        <v>46225</v>
      </c>
      <c r="F86" t="inlineStr">
        <is>
          <t>VÄSTRA GÖTALANDS LÄN</t>
        </is>
      </c>
      <c r="G86" t="inlineStr">
        <is>
          <t>TÖREBODA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45885</v>
      </c>
      <c r="E87" s="1" t="n">
        <v>46225</v>
      </c>
      <c r="F87" t="inlineStr">
        <is>
          <t>VÄSTRA GÖTALANDS LÄN</t>
        </is>
      </c>
      <c r="G87" t="inlineStr">
        <is>
          <t>TÖREBODA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45888</v>
      </c>
      <c r="E88" s="1" t="n">
        <v>46225</v>
      </c>
      <c r="F88" t="inlineStr">
        <is>
          <t>VÄSTRA GÖTALANDS LÄN</t>
        </is>
      </c>
      <c r="G88" t="inlineStr">
        <is>
          <t>TÖREBODA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45481</v>
      </c>
      <c r="E89" s="1" t="n">
        <v>46225</v>
      </c>
      <c r="F89" t="inlineStr">
        <is>
          <t>VÄSTRA GÖTALANDS LÄN</t>
        </is>
      </c>
      <c r="G89" t="inlineStr">
        <is>
          <t>TÖREBODA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46225</v>
      </c>
      <c r="F90" t="inlineStr">
        <is>
          <t>VÄSTRA GÖTALANDS LÄN</t>
        </is>
      </c>
      <c r="G90" t="inlineStr">
        <is>
          <t>TÖREBODA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46225</v>
      </c>
      <c r="F91" t="inlineStr">
        <is>
          <t>VÄSTRA GÖTALANDS LÄN</t>
        </is>
      </c>
      <c r="G91" t="inlineStr">
        <is>
          <t>TÖREBODA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46225</v>
      </c>
      <c r="F92" t="inlineStr">
        <is>
          <t>VÄSTRA GÖTALANDS LÄN</t>
        </is>
      </c>
      <c r="G92" t="inlineStr">
        <is>
          <t>TÖREBODA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46225</v>
      </c>
      <c r="F93" t="inlineStr">
        <is>
          <t>VÄSTRA GÖTALANDS LÄN</t>
        </is>
      </c>
      <c r="G93" t="inlineStr">
        <is>
          <t>TÖREBODA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46225</v>
      </c>
      <c r="F94" t="inlineStr">
        <is>
          <t>VÄSTRA GÖTALANDS LÄN</t>
        </is>
      </c>
      <c r="G94" t="inlineStr">
        <is>
          <t>TÖREBODA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46225</v>
      </c>
      <c r="F95" t="inlineStr">
        <is>
          <t>VÄSTRA GÖTALANDS LÄN</t>
        </is>
      </c>
      <c r="G95" t="inlineStr">
        <is>
          <t>TÖREBODA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46225</v>
      </c>
      <c r="F96" t="inlineStr">
        <is>
          <t>VÄSTRA GÖTALANDS LÄN</t>
        </is>
      </c>
      <c r="G96" t="inlineStr">
        <is>
          <t>TÖREBODA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46225</v>
      </c>
      <c r="F97" t="inlineStr">
        <is>
          <t>VÄSTRA GÖTALANDS LÄN</t>
        </is>
      </c>
      <c r="G97" t="inlineStr">
        <is>
          <t>TÖREBODA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46225</v>
      </c>
      <c r="F98" t="inlineStr">
        <is>
          <t>VÄSTRA GÖTALANDS LÄN</t>
        </is>
      </c>
      <c r="G98" t="inlineStr">
        <is>
          <t>TÖREBODA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46225</v>
      </c>
      <c r="F99" t="inlineStr">
        <is>
          <t>VÄSTRA GÖTALANDS LÄN</t>
        </is>
      </c>
      <c r="G99" t="inlineStr">
        <is>
          <t>TÖREBODA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46225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Övriga statliga verk och myndigheter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46225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Övriga statliga verk och myndigheter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46225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Övriga statliga verk och myndigheter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46225</v>
      </c>
      <c r="F103" t="inlineStr">
        <is>
          <t>VÄSTRA GÖTALANDS LÄN</t>
        </is>
      </c>
      <c r="G103" t="inlineStr">
        <is>
          <t>TÖREBODA</t>
        </is>
      </c>
      <c r="H103" t="inlineStr">
        <is>
          <t>Övriga statliga verk och myndigheter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45912</v>
      </c>
      <c r="E104" s="1" t="n">
        <v>46225</v>
      </c>
      <c r="F104" t="inlineStr">
        <is>
          <t>VÄSTRA GÖTALANDS LÄN</t>
        </is>
      </c>
      <c r="G104" t="inlineStr">
        <is>
          <t>TÖREBODA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46225</v>
      </c>
      <c r="F105" t="inlineStr">
        <is>
          <t>VÄSTRA GÖTALANDS LÄN</t>
        </is>
      </c>
      <c r="G105" t="inlineStr">
        <is>
          <t>TÖREBODA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33534-2025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46225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46225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46225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46225</v>
      </c>
      <c r="F109" t="inlineStr">
        <is>
          <t>VÄSTRA GÖTALANDS LÄN</t>
        </is>
      </c>
      <c r="G109" t="inlineStr">
        <is>
          <t>TÖREBODA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45915</v>
      </c>
      <c r="E110" s="1" t="n">
        <v>46225</v>
      </c>
      <c r="F110" t="inlineStr">
        <is>
          <t>VÄSTRA GÖTALANDS LÄN</t>
        </is>
      </c>
      <c r="G110" t="inlineStr">
        <is>
          <t>TÖREBODA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45764</v>
      </c>
      <c r="E111" s="1" t="n">
        <v>46225</v>
      </c>
      <c r="F111" t="inlineStr">
        <is>
          <t>VÄSTRA GÖTALANDS LÄN</t>
        </is>
      </c>
      <c r="G111" t="inlineStr">
        <is>
          <t>TÖREBODA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46225</v>
      </c>
      <c r="F112" t="inlineStr">
        <is>
          <t>VÄSTRA GÖTALANDS LÄN</t>
        </is>
      </c>
      <c r="G112" t="inlineStr">
        <is>
          <t>TÖREBODA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46225</v>
      </c>
      <c r="F113" t="inlineStr">
        <is>
          <t>VÄSTRA GÖTALANDS LÄN</t>
        </is>
      </c>
      <c r="G113" t="inlineStr">
        <is>
          <t>TÖREBODA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46225</v>
      </c>
      <c r="F114" t="inlineStr">
        <is>
          <t>VÄSTRA GÖTALANDS LÄN</t>
        </is>
      </c>
      <c r="G114" t="inlineStr">
        <is>
          <t>TÖREBODA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46225</v>
      </c>
      <c r="F115" t="inlineStr">
        <is>
          <t>VÄSTRA GÖTALANDS LÄN</t>
        </is>
      </c>
      <c r="G115" t="inlineStr">
        <is>
          <t>TÖREBODA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45741</v>
      </c>
      <c r="E116" s="1" t="n">
        <v>46225</v>
      </c>
      <c r="F116" t="inlineStr">
        <is>
          <t>VÄSTRA GÖTALANDS LÄN</t>
        </is>
      </c>
      <c r="G116" t="inlineStr">
        <is>
          <t>TÖREBODA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46225</v>
      </c>
      <c r="F117" t="inlineStr">
        <is>
          <t>VÄSTRA GÖTALANDS LÄN</t>
        </is>
      </c>
      <c r="G117" t="inlineStr">
        <is>
          <t>TÖREBODA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46225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Kyrkan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46225</v>
      </c>
      <c r="F119" t="inlineStr">
        <is>
          <t>VÄSTRA GÖTALANDS LÄN</t>
        </is>
      </c>
      <c r="G119" t="inlineStr">
        <is>
          <t>TÖREBODA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46225</v>
      </c>
      <c r="F120" t="inlineStr">
        <is>
          <t>VÄSTRA GÖTALANDS LÄN</t>
        </is>
      </c>
      <c r="G120" t="inlineStr">
        <is>
          <t>TÖREBODA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46225</v>
      </c>
      <c r="F121" t="inlineStr">
        <is>
          <t>VÄSTRA GÖTALANDS LÄN</t>
        </is>
      </c>
      <c r="G121" t="inlineStr">
        <is>
          <t>TÖREBODA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46225</v>
      </c>
      <c r="F122" t="inlineStr">
        <is>
          <t>VÄSTRA GÖTALANDS LÄN</t>
        </is>
      </c>
      <c r="G122" t="inlineStr">
        <is>
          <t>TÖREBODA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46225</v>
      </c>
      <c r="F123" t="inlineStr">
        <is>
          <t>VÄSTRA GÖTALANDS LÄN</t>
        </is>
      </c>
      <c r="G123" t="inlineStr">
        <is>
          <t>TÖREBODA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46225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46225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46225</v>
      </c>
      <c r="F126" t="inlineStr">
        <is>
          <t>VÄSTRA GÖTALANDS LÄN</t>
        </is>
      </c>
      <c r="G126" t="inlineStr">
        <is>
          <t>TÖREBODA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46225</v>
      </c>
      <c r="F127" t="inlineStr">
        <is>
          <t>VÄSTRA GÖTALANDS LÄN</t>
        </is>
      </c>
      <c r="G127" t="inlineStr">
        <is>
          <t>TÖREBODA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44907</v>
      </c>
      <c r="E128" s="1" t="n">
        <v>46225</v>
      </c>
      <c r="F128" t="inlineStr">
        <is>
          <t>VÄSTRA GÖTALANDS LÄN</t>
        </is>
      </c>
      <c r="G128" t="inlineStr">
        <is>
          <t>TÖREBODA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46106</v>
      </c>
      <c r="E129" s="1" t="n">
        <v>46225</v>
      </c>
      <c r="F129" t="inlineStr">
        <is>
          <t>VÄSTRA GÖTALANDS LÄN</t>
        </is>
      </c>
      <c r="G129" t="inlineStr">
        <is>
          <t>TÖREBODA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46225</v>
      </c>
      <c r="F130" t="inlineStr">
        <is>
          <t>VÄSTRA GÖTALANDS LÄN</t>
        </is>
      </c>
      <c r="G130" t="inlineStr">
        <is>
          <t>TÖREBODA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46225</v>
      </c>
      <c r="F131" t="inlineStr">
        <is>
          <t>VÄSTRA GÖTALANDS LÄN</t>
        </is>
      </c>
      <c r="G131" t="inlineStr">
        <is>
          <t>TÖREBODA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46225</v>
      </c>
      <c r="F132" t="inlineStr">
        <is>
          <t>VÄSTRA GÖTALANDS LÄN</t>
        </is>
      </c>
      <c r="G132" t="inlineStr">
        <is>
          <t>TÖREBODA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45954</v>
      </c>
      <c r="E133" s="1" t="n">
        <v>46225</v>
      </c>
      <c r="F133" t="inlineStr">
        <is>
          <t>VÄSTRA GÖTALANDS LÄN</t>
        </is>
      </c>
      <c r="G133" t="inlineStr">
        <is>
          <t>TÖREBODA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46225</v>
      </c>
      <c r="F134" t="inlineStr">
        <is>
          <t>VÄSTRA GÖTALANDS LÄN</t>
        </is>
      </c>
      <c r="G134" t="inlineStr">
        <is>
          <t>TÖREBODA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46225</v>
      </c>
      <c r="F135" t="inlineStr">
        <is>
          <t>VÄSTRA GÖTALANDS LÄN</t>
        </is>
      </c>
      <c r="G135" t="inlineStr">
        <is>
          <t>TÖREBODA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46225</v>
      </c>
      <c r="F136" t="inlineStr">
        <is>
          <t>VÄSTRA GÖTALANDS LÄN</t>
        </is>
      </c>
      <c r="G136" t="inlineStr">
        <is>
          <t>TÖREBODA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46225</v>
      </c>
      <c r="F137" t="inlineStr">
        <is>
          <t>VÄSTRA GÖTALANDS LÄN</t>
        </is>
      </c>
      <c r="G137" t="inlineStr">
        <is>
          <t>TÖREBODA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46225</v>
      </c>
      <c r="F138" t="inlineStr">
        <is>
          <t>VÄSTRA GÖTALANDS LÄN</t>
        </is>
      </c>
      <c r="G138" t="inlineStr">
        <is>
          <t>TÖREBODA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46225</v>
      </c>
      <c r="F139" t="inlineStr">
        <is>
          <t>VÄSTRA GÖTALANDS LÄN</t>
        </is>
      </c>
      <c r="G139" t="inlineStr">
        <is>
          <t>TÖREBODA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46225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46225</v>
      </c>
      <c r="F141" t="inlineStr">
        <is>
          <t>VÄSTRA GÖTALANDS LÄN</t>
        </is>
      </c>
      <c r="G141" t="inlineStr">
        <is>
          <t>TÖREBODA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55593-2025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45971</v>
      </c>
      <c r="E142" s="1" t="n">
        <v>46225</v>
      </c>
      <c r="F142" t="inlineStr">
        <is>
          <t>VÄSTRA GÖTALANDS LÄN</t>
        </is>
      </c>
      <c r="G142" t="inlineStr">
        <is>
          <t>TÖREBODA</t>
        </is>
      </c>
      <c r="I142" t="n">
        <v>20.8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46225</v>
      </c>
      <c r="F143" t="inlineStr">
        <is>
          <t>VÄSTRA GÖTALANDS LÄN</t>
        </is>
      </c>
      <c r="G143" t="inlineStr">
        <is>
          <t>TÖREBODA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46225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46225</v>
      </c>
      <c r="F145" t="inlineStr">
        <is>
          <t>VÄSTRA GÖTALANDS LÄN</t>
        </is>
      </c>
      <c r="G145" t="inlineStr">
        <is>
          <t>TÖREBODA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46225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46225</v>
      </c>
      <c r="F147" t="inlineStr">
        <is>
          <t>VÄSTRA GÖTALANDS LÄN</t>
        </is>
      </c>
      <c r="G147" t="inlineStr">
        <is>
          <t>TÖREBODA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55766-2025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45972</v>
      </c>
      <c r="E148" s="1" t="n">
        <v>46225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46225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46134</v>
      </c>
      <c r="E150" s="1" t="n">
        <v>46225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46225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45127</v>
      </c>
      <c r="E152" s="1" t="n">
        <v>46225</v>
      </c>
      <c r="F152" t="inlineStr">
        <is>
          <t>VÄSTRA GÖTALANDS LÄN</t>
        </is>
      </c>
      <c r="G152" t="inlineStr">
        <is>
          <t>TÖREBODA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46225</v>
      </c>
      <c r="F153" t="inlineStr">
        <is>
          <t>VÄSTRA GÖTALANDS LÄN</t>
        </is>
      </c>
      <c r="G153" t="inlineStr">
        <is>
          <t>TÖREBODA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46225</v>
      </c>
      <c r="F154" t="inlineStr">
        <is>
          <t>VÄSTRA GÖTALANDS LÄN</t>
        </is>
      </c>
      <c r="G154" t="inlineStr">
        <is>
          <t>TÖREBODA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46225</v>
      </c>
      <c r="F155" t="inlineStr">
        <is>
          <t>VÄSTRA GÖTALANDS LÄN</t>
        </is>
      </c>
      <c r="G155" t="inlineStr">
        <is>
          <t>TÖREBODA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46225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46225</v>
      </c>
      <c r="F157" t="inlineStr">
        <is>
          <t>VÄSTRA GÖTALANDS LÄN</t>
        </is>
      </c>
      <c r="G157" t="inlineStr">
        <is>
          <t>TÖREBODA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45051</v>
      </c>
      <c r="E158" s="1" t="n">
        <v>46225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46225</v>
      </c>
      <c r="F159" t="inlineStr">
        <is>
          <t>VÄSTRA GÖTALANDS LÄN</t>
        </is>
      </c>
      <c r="G159" t="inlineStr">
        <is>
          <t>TÖREBODA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46009</v>
      </c>
      <c r="E160" s="1" t="n">
        <v>46225</v>
      </c>
      <c r="F160" t="inlineStr">
        <is>
          <t>VÄSTRA GÖTALANDS LÄN</t>
        </is>
      </c>
      <c r="G160" t="inlineStr">
        <is>
          <t>TÖREBODA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46225</v>
      </c>
      <c r="F161" t="inlineStr">
        <is>
          <t>VÄSTRA GÖTALANDS LÄN</t>
        </is>
      </c>
      <c r="G161" t="inlineStr">
        <is>
          <t>TÖREBODA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63133-2025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46225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46225</v>
      </c>
      <c r="F163" t="inlineStr">
        <is>
          <t>VÄSTRA GÖTALANDS LÄN</t>
        </is>
      </c>
      <c r="G163" t="inlineStr">
        <is>
          <t>TÖREBODA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46225</v>
      </c>
      <c r="F164" t="inlineStr">
        <is>
          <t>VÄSTRA GÖTALANDS LÄN</t>
        </is>
      </c>
      <c r="G164" t="inlineStr">
        <is>
          <t>TÖREBODA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46225</v>
      </c>
      <c r="F165" t="inlineStr">
        <is>
          <t>VÄSTRA GÖTALANDS LÄN</t>
        </is>
      </c>
      <c r="G165" t="inlineStr">
        <is>
          <t>TÖREBODA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46225</v>
      </c>
      <c r="F166" t="inlineStr">
        <is>
          <t>VÄSTRA GÖTALANDS LÄN</t>
        </is>
      </c>
      <c r="G166" t="inlineStr">
        <is>
          <t>TÖREBODA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45328</v>
      </c>
      <c r="E167" s="1" t="n">
        <v>46225</v>
      </c>
      <c r="F167" t="inlineStr">
        <is>
          <t>VÄSTRA GÖTALANDS LÄN</t>
        </is>
      </c>
      <c r="G167" t="inlineStr">
        <is>
          <t>TÖREBODA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46152</v>
      </c>
      <c r="E168" s="1" t="n">
        <v>46225</v>
      </c>
      <c r="F168" t="inlineStr">
        <is>
          <t>VÄSTRA GÖTALANDS LÄN</t>
        </is>
      </c>
      <c r="G168" t="inlineStr">
        <is>
          <t>TÖREBODA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46225</v>
      </c>
      <c r="F169" t="inlineStr">
        <is>
          <t>VÄSTRA GÖTALANDS LÄN</t>
        </is>
      </c>
      <c r="G169" t="inlineStr">
        <is>
          <t>TÖREBODA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46225</v>
      </c>
      <c r="F170" t="inlineStr">
        <is>
          <t>VÄSTRA GÖTALANDS LÄN</t>
        </is>
      </c>
      <c r="G170" t="inlineStr">
        <is>
          <t>TÖREBODA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44853</v>
      </c>
      <c r="E171" s="1" t="n">
        <v>46225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46225</v>
      </c>
      <c r="F172" t="inlineStr">
        <is>
          <t>VÄSTRA GÖTALANDS LÄN</t>
        </is>
      </c>
      <c r="G172" t="inlineStr">
        <is>
          <t>TÖREBODA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46225</v>
      </c>
      <c r="F173" t="inlineStr">
        <is>
          <t>VÄSTRA GÖTALANDS LÄN</t>
        </is>
      </c>
      <c r="G173" t="inlineStr">
        <is>
          <t>TÖREBODA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23662-2023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46225</v>
      </c>
      <c r="F174" t="inlineStr">
        <is>
          <t>VÄSTRA GÖTALANDS LÄN</t>
        </is>
      </c>
      <c r="G174" t="inlineStr">
        <is>
          <t>TÖREBODA</t>
        </is>
      </c>
      <c r="H174" t="inlineStr">
        <is>
          <t>Övriga Aktiebolag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57225-2021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44483</v>
      </c>
      <c r="E175" s="1" t="n">
        <v>46225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46152</v>
      </c>
      <c r="E176" s="1" t="n">
        <v>46225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46225</v>
      </c>
      <c r="F177" t="inlineStr">
        <is>
          <t>VÄSTRA GÖTALANDS LÄN</t>
        </is>
      </c>
      <c r="G177" t="inlineStr">
        <is>
          <t>TÖREBODA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46152</v>
      </c>
      <c r="E178" s="1" t="n">
        <v>46225</v>
      </c>
      <c r="F178" t="inlineStr">
        <is>
          <t>VÄSTRA GÖTALANDS LÄN</t>
        </is>
      </c>
      <c r="G178" t="inlineStr">
        <is>
          <t>TÖREBODA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45002</v>
      </c>
      <c r="E179" s="1" t="n">
        <v>46225</v>
      </c>
      <c r="F179" t="inlineStr">
        <is>
          <t>VÄSTRA GÖTALANDS LÄN</t>
        </is>
      </c>
      <c r="G179" t="inlineStr">
        <is>
          <t>TÖREBODA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11159-2023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44987</v>
      </c>
      <c r="E180" s="1" t="n">
        <v>46225</v>
      </c>
      <c r="F180" t="inlineStr">
        <is>
          <t>VÄSTRA GÖTALANDS LÄN</t>
        </is>
      </c>
      <c r="G180" t="inlineStr">
        <is>
          <t>TÖREBODA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56684-2024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45627</v>
      </c>
      <c r="E181" s="1" t="n">
        <v>46225</v>
      </c>
      <c r="F181" t="inlineStr">
        <is>
          <t>VÄSTRA GÖTALANDS LÄN</t>
        </is>
      </c>
      <c r="G181" t="inlineStr">
        <is>
          <t>TÖREBODA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46225</v>
      </c>
      <c r="F182" t="inlineStr">
        <is>
          <t>VÄSTRA GÖTALANDS LÄN</t>
        </is>
      </c>
      <c r="G182" t="inlineStr">
        <is>
          <t>TÖREBODA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46225</v>
      </c>
      <c r="F183" t="inlineStr">
        <is>
          <t>VÄSTRA GÖTALANDS LÄN</t>
        </is>
      </c>
      <c r="G183" t="inlineStr">
        <is>
          <t>TÖREBODA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46225</v>
      </c>
      <c r="F184" t="inlineStr">
        <is>
          <t>VÄSTRA GÖTALANDS LÄN</t>
        </is>
      </c>
      <c r="G184" t="inlineStr">
        <is>
          <t>TÖREBODA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45699</v>
      </c>
      <c r="E185" s="1" t="n">
        <v>46225</v>
      </c>
      <c r="F185" t="inlineStr">
        <is>
          <t>VÄSTRA GÖTALANDS LÄN</t>
        </is>
      </c>
      <c r="G185" t="inlineStr">
        <is>
          <t>TÖREBODA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44782</v>
      </c>
      <c r="E186" s="1" t="n">
        <v>46225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46225</v>
      </c>
      <c r="F187" t="inlineStr">
        <is>
          <t>VÄSTRA GÖTALANDS LÄN</t>
        </is>
      </c>
      <c r="G187" t="inlineStr">
        <is>
          <t>TÖREBODA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44756</v>
      </c>
      <c r="E188" s="1" t="n">
        <v>46225</v>
      </c>
      <c r="F188" t="inlineStr">
        <is>
          <t>VÄSTRA GÖTALANDS LÄN</t>
        </is>
      </c>
      <c r="G188" t="inlineStr">
        <is>
          <t>TÖREBODA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30200-2026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46225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46225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46225</v>
      </c>
      <c r="F191" t="inlineStr">
        <is>
          <t>VÄSTRA GÖTALANDS LÄN</t>
        </is>
      </c>
      <c r="G191" t="inlineStr">
        <is>
          <t>TÖREBODA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46225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46225</v>
      </c>
      <c r="F193" t="inlineStr">
        <is>
          <t>VÄSTRA GÖTALANDS LÄN</t>
        </is>
      </c>
      <c r="G193" t="inlineStr">
        <is>
          <t>TÖREBODA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46225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46225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Sveaskog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45049</v>
      </c>
      <c r="E196" s="1" t="n">
        <v>46225</v>
      </c>
      <c r="F196" t="inlineStr">
        <is>
          <t>VÄSTRA GÖTALANDS LÄN</t>
        </is>
      </c>
      <c r="G196" t="inlineStr">
        <is>
          <t>TÖREBODA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46225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10.7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46225</v>
      </c>
      <c r="F198" t="inlineStr">
        <is>
          <t>VÄSTRA GÖTALANDS LÄN</t>
        </is>
      </c>
      <c r="G198" t="inlineStr">
        <is>
          <t>TÖREBODA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45425</v>
      </c>
      <c r="E199" s="1" t="n">
        <v>46225</v>
      </c>
      <c r="F199" t="inlineStr">
        <is>
          <t>VÄSTRA GÖTALANDS LÄN</t>
        </is>
      </c>
      <c r="G199" t="inlineStr">
        <is>
          <t>TÖREBODA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46225</v>
      </c>
      <c r="F200" t="inlineStr">
        <is>
          <t>VÄSTRA GÖTALANDS LÄN</t>
        </is>
      </c>
      <c r="G200" t="inlineStr">
        <is>
          <t>TÖREBODA</t>
        </is>
      </c>
      <c r="I200" t="n">
        <v>49.4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46225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46225</v>
      </c>
      <c r="F202" t="inlineStr">
        <is>
          <t>VÄSTRA GÖTALANDS LÄN</t>
        </is>
      </c>
      <c r="G202" t="inlineStr">
        <is>
          <t>TÖREBODA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45096</v>
      </c>
      <c r="E203" s="1" t="n">
        <v>46225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46225</v>
      </c>
      <c r="F204" t="inlineStr">
        <is>
          <t>VÄSTRA GÖTALANDS LÄN</t>
        </is>
      </c>
      <c r="G204" t="inlineStr">
        <is>
          <t>TÖREBODA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46225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46225</v>
      </c>
      <c r="F206" t="inlineStr">
        <is>
          <t>VÄSTRA GÖTALANDS LÄN</t>
        </is>
      </c>
      <c r="G206" t="inlineStr">
        <is>
          <t>TÖREBODA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46225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45450</v>
      </c>
      <c r="E208" s="1" t="n">
        <v>46225</v>
      </c>
      <c r="F208" t="inlineStr">
        <is>
          <t>VÄSTRA GÖTALANDS LÄN</t>
        </is>
      </c>
      <c r="G208" t="inlineStr">
        <is>
          <t>TÖREBODA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46225</v>
      </c>
      <c r="F209" t="inlineStr">
        <is>
          <t>VÄSTRA GÖTALANDS LÄN</t>
        </is>
      </c>
      <c r="G209" t="inlineStr">
        <is>
          <t>TÖREBODA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46225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Övriga statliga verk och myndigheter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34865-2023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46225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46225</v>
      </c>
      <c r="F212" t="inlineStr">
        <is>
          <t>VÄSTRA GÖTALANDS LÄN</t>
        </is>
      </c>
      <c r="G212" t="inlineStr">
        <is>
          <t>TÖREBODA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46225</v>
      </c>
      <c r="F213" t="inlineStr">
        <is>
          <t>VÄSTRA GÖTALANDS LÄN</t>
        </is>
      </c>
      <c r="G213" t="inlineStr">
        <is>
          <t>TÖREBODA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45133</v>
      </c>
      <c r="E214" s="1" t="n">
        <v>46225</v>
      </c>
      <c r="F214" t="inlineStr">
        <is>
          <t>VÄSTRA GÖTALANDS LÄN</t>
        </is>
      </c>
      <c r="G214" t="inlineStr">
        <is>
          <t>TÖREBODA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46225</v>
      </c>
      <c r="F215" t="inlineStr">
        <is>
          <t>VÄSTRA GÖTALANDS LÄN</t>
        </is>
      </c>
      <c r="G215" t="inlineStr">
        <is>
          <t>TÖREBODA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46225</v>
      </c>
      <c r="F216" t="inlineStr">
        <is>
          <t>VÄSTRA GÖTALANDS LÄN</t>
        </is>
      </c>
      <c r="G216" t="inlineStr">
        <is>
          <t>TÖREBODA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46225</v>
      </c>
      <c r="F217" t="inlineStr">
        <is>
          <t>VÄSTRA GÖTALANDS LÄN</t>
        </is>
      </c>
      <c r="G217" t="inlineStr">
        <is>
          <t>TÖREBODA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45556</v>
      </c>
      <c r="E218" s="1" t="n">
        <v>46225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46225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46225</v>
      </c>
      <c r="F220" t="inlineStr">
        <is>
          <t>VÄSTRA GÖTALANDS LÄN</t>
        </is>
      </c>
      <c r="G220" t="inlineStr">
        <is>
          <t>TÖREBODA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45457</v>
      </c>
      <c r="E221" s="1" t="n">
        <v>46225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Övriga statliga verk och myndigheter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45552</v>
      </c>
      <c r="E222" s="1" t="n">
        <v>46225</v>
      </c>
      <c r="F222" t="inlineStr">
        <is>
          <t>VÄSTRA GÖTALANDS LÄN</t>
        </is>
      </c>
      <c r="G222" t="inlineStr">
        <is>
          <t>TÖREBODA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45627</v>
      </c>
      <c r="E223" s="1" t="n">
        <v>46225</v>
      </c>
      <c r="F223" t="inlineStr">
        <is>
          <t>VÄSTRA GÖTALANDS LÄN</t>
        </is>
      </c>
      <c r="G223" t="inlineStr">
        <is>
          <t>TÖREBODA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40542-2024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46225</v>
      </c>
      <c r="F224" t="inlineStr">
        <is>
          <t>VÄSTRA GÖTALANDS LÄN</t>
        </is>
      </c>
      <c r="G224" t="inlineStr">
        <is>
          <t>TÖREBODA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46225</v>
      </c>
      <c r="F225" t="inlineStr">
        <is>
          <t>VÄSTRA GÖTALANDS LÄN</t>
        </is>
      </c>
      <c r="G225" t="inlineStr">
        <is>
          <t>TÖREBODA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46225</v>
      </c>
      <c r="F226" t="inlineStr">
        <is>
          <t>VÄSTRA GÖTALANDS LÄN</t>
        </is>
      </c>
      <c r="G226" t="inlineStr">
        <is>
          <t>TÖREBODA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46225</v>
      </c>
      <c r="F227" t="inlineStr">
        <is>
          <t>VÄSTRA GÖTALANDS LÄN</t>
        </is>
      </c>
      <c r="G227" t="inlineStr">
        <is>
          <t>TÖREBODA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46225</v>
      </c>
      <c r="F228" t="inlineStr">
        <is>
          <t>VÄSTRA GÖTALANDS LÄN</t>
        </is>
      </c>
      <c r="G228" t="inlineStr">
        <is>
          <t>TÖREBODA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46225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Aktiebolag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45607</v>
      </c>
      <c r="E230" s="1" t="n">
        <v>46225</v>
      </c>
      <c r="F230" t="inlineStr">
        <is>
          <t>VÄSTRA GÖTALANDS LÄN</t>
        </is>
      </c>
      <c r="G230" t="inlineStr">
        <is>
          <t>TÖREBODA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46225</v>
      </c>
      <c r="F231" t="inlineStr">
        <is>
          <t>VÄSTRA GÖTALANDS LÄN</t>
        </is>
      </c>
      <c r="G231" t="inlineStr">
        <is>
          <t>TÖREBODA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44697</v>
      </c>
      <c r="E232" s="1" t="n">
        <v>46225</v>
      </c>
      <c r="F232" t="inlineStr">
        <is>
          <t>VÄSTRA GÖTALANDS LÄN</t>
        </is>
      </c>
      <c r="G232" t="inlineStr">
        <is>
          <t>TÖREBODA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37837-2023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45156</v>
      </c>
      <c r="E233" s="1" t="n">
        <v>46225</v>
      </c>
      <c r="F233" t="inlineStr">
        <is>
          <t>VÄSTRA GÖTALANDS LÄN</t>
        </is>
      </c>
      <c r="G233" t="inlineStr">
        <is>
          <t>TÖREBODA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46225</v>
      </c>
      <c r="F234" t="inlineStr">
        <is>
          <t>VÄSTRA GÖTALANDS LÄN</t>
        </is>
      </c>
      <c r="G234" t="inlineStr">
        <is>
          <t>TÖREBODA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45237</v>
      </c>
      <c r="E235" s="1" t="n">
        <v>46225</v>
      </c>
      <c r="F235" t="inlineStr">
        <is>
          <t>VÄSTRA GÖTALANDS LÄN</t>
        </is>
      </c>
      <c r="G235" t="inlineStr">
        <is>
          <t>TÖREBODA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46225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46225</v>
      </c>
      <c r="F237" t="inlineStr">
        <is>
          <t>VÄSTRA GÖTALANDS LÄN</t>
        </is>
      </c>
      <c r="G237" t="inlineStr">
        <is>
          <t>TÖREBODA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28965-2022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44749</v>
      </c>
      <c r="E238" s="1" t="n">
        <v>46225</v>
      </c>
      <c r="F238" t="inlineStr">
        <is>
          <t>VÄSTRA GÖTALANDS LÄN</t>
        </is>
      </c>
      <c r="G238" t="inlineStr">
        <is>
          <t>TÖREBODA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28196-2022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44746</v>
      </c>
      <c r="E239" s="1" t="n">
        <v>46225</v>
      </c>
      <c r="F239" t="inlineStr">
        <is>
          <t>VÄSTRA GÖTALANDS LÄN</t>
        </is>
      </c>
      <c r="G239" t="inlineStr">
        <is>
          <t>TÖREBODA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45530</v>
      </c>
      <c r="E240" s="1" t="n">
        <v>46225</v>
      </c>
      <c r="F240" t="inlineStr">
        <is>
          <t>VÄSTRA GÖTALANDS LÄN</t>
        </is>
      </c>
      <c r="G240" t="inlineStr">
        <is>
          <t>TÖREBODA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46225</v>
      </c>
      <c r="F241" t="inlineStr">
        <is>
          <t>VÄSTRA GÖTALANDS LÄN</t>
        </is>
      </c>
      <c r="G241" t="inlineStr">
        <is>
          <t>TÖREBODA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46225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45694</v>
      </c>
      <c r="E243" s="1" t="n">
        <v>46225</v>
      </c>
      <c r="F243" t="inlineStr">
        <is>
          <t>VÄSTRA GÖTALANDS LÄN</t>
        </is>
      </c>
      <c r="G243" t="inlineStr">
        <is>
          <t>TÖREBODA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46225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16007-2024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45405</v>
      </c>
      <c r="E245" s="1" t="n">
        <v>46225</v>
      </c>
      <c r="F245" t="inlineStr">
        <is>
          <t>VÄSTRA GÖTALANDS LÄN</t>
        </is>
      </c>
      <c r="G245" t="inlineStr">
        <is>
          <t>TÖREBODA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46225</v>
      </c>
      <c r="F246" t="inlineStr">
        <is>
          <t>VÄSTRA GÖTALANDS LÄN</t>
        </is>
      </c>
      <c r="G246" t="inlineStr">
        <is>
          <t>TÖREBODA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26759-2022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44740</v>
      </c>
      <c r="E247" s="1" t="n">
        <v>46225</v>
      </c>
      <c r="F247" t="inlineStr">
        <is>
          <t>VÄSTRA GÖTALANDS LÄN</t>
        </is>
      </c>
      <c r="G247" t="inlineStr">
        <is>
          <t>TÖREBODA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45651</v>
      </c>
      <c r="E248" s="1" t="n">
        <v>46225</v>
      </c>
      <c r="F248" t="inlineStr">
        <is>
          <t>VÄSTRA GÖTALANDS LÄN</t>
        </is>
      </c>
      <c r="G248" t="inlineStr">
        <is>
          <t>TÖREBODA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46225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44858</v>
      </c>
      <c r="E250" s="1" t="n">
        <v>46225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46225</v>
      </c>
      <c r="F251" t="inlineStr">
        <is>
          <t>VÄSTRA GÖTALANDS LÄN</t>
        </is>
      </c>
      <c r="G251" t="inlineStr">
        <is>
          <t>TÖREBODA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46225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46225</v>
      </c>
      <c r="F253" t="inlineStr">
        <is>
          <t>VÄSTRA GÖTALANDS LÄN</t>
        </is>
      </c>
      <c r="G253" t="inlineStr">
        <is>
          <t>TÖREBODA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46225</v>
      </c>
      <c r="F254" t="inlineStr">
        <is>
          <t>VÄSTRA GÖTALANDS LÄN</t>
        </is>
      </c>
      <c r="G254" t="inlineStr">
        <is>
          <t>TÖREBODA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46225</v>
      </c>
      <c r="F255" t="inlineStr">
        <is>
          <t>VÄSTRA GÖTALANDS LÄN</t>
        </is>
      </c>
      <c r="G255" t="inlineStr">
        <is>
          <t>TÖREBODA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46225</v>
      </c>
      <c r="F256" t="inlineStr">
        <is>
          <t>VÄSTRA GÖTALANDS LÄN</t>
        </is>
      </c>
      <c r="G256" t="inlineStr">
        <is>
          <t>TÖREBODA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46225</v>
      </c>
      <c r="F257" t="inlineStr">
        <is>
          <t>VÄSTRA GÖTALANDS LÄN</t>
        </is>
      </c>
      <c r="G257" t="inlineStr">
        <is>
          <t>TÖREBODA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38841-2022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44816</v>
      </c>
      <c r="E258" s="1" t="n">
        <v>46225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Kyrkan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44599</v>
      </c>
      <c r="E259" s="1" t="n">
        <v>46225</v>
      </c>
      <c r="F259" t="inlineStr">
        <is>
          <t>VÄSTRA GÖTALANDS LÄN</t>
        </is>
      </c>
      <c r="G259" t="inlineStr">
        <is>
          <t>TÖREBODA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57984-2022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44900</v>
      </c>
      <c r="E260" s="1" t="n">
        <v>46225</v>
      </c>
      <c r="F260" t="inlineStr">
        <is>
          <t>VÄSTRA GÖTALANDS LÄN</t>
        </is>
      </c>
      <c r="G260" t="inlineStr">
        <is>
          <t>TÖREBODA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45460</v>
      </c>
      <c r="E261" s="1" t="n">
        <v>46225</v>
      </c>
      <c r="F261" t="inlineStr">
        <is>
          <t>VÄSTRA GÖTALANDS LÄN</t>
        </is>
      </c>
      <c r="G261" t="inlineStr">
        <is>
          <t>TÖREBODA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45246</v>
      </c>
      <c r="E262" s="1" t="n">
        <v>46225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46225</v>
      </c>
      <c r="F263" t="inlineStr">
        <is>
          <t>VÄSTRA GÖTALANDS LÄN</t>
        </is>
      </c>
      <c r="G263" t="inlineStr">
        <is>
          <t>TÖREBODA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46225</v>
      </c>
      <c r="F264" t="inlineStr">
        <is>
          <t>VÄSTRA GÖTALANDS LÄN</t>
        </is>
      </c>
      <c r="G264" t="inlineStr">
        <is>
          <t>TÖREBODA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46225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46225</v>
      </c>
      <c r="F266" t="inlineStr">
        <is>
          <t>VÄSTRA GÖTALANDS LÄN</t>
        </is>
      </c>
      <c r="G266" t="inlineStr">
        <is>
          <t>TÖREBODA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46225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34862-2023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46225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6446-2025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45699</v>
      </c>
      <c r="E269" s="1" t="n">
        <v>46225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42109-2024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46225</v>
      </c>
      <c r="F270" t="inlineStr">
        <is>
          <t>VÄSTRA GÖTALANDS LÄN</t>
        </is>
      </c>
      <c r="G270" t="inlineStr">
        <is>
          <t>TÖREBODA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45349</v>
      </c>
      <c r="E271" s="1" t="n">
        <v>46225</v>
      </c>
      <c r="F271" t="inlineStr">
        <is>
          <t>VÄSTRA GÖTALANDS LÄN</t>
        </is>
      </c>
      <c r="G271" t="inlineStr">
        <is>
          <t>TÖREBODA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46225</v>
      </c>
      <c r="F272" t="inlineStr">
        <is>
          <t>VÄSTRA GÖTALANDS LÄN</t>
        </is>
      </c>
      <c r="G272" t="inlineStr">
        <is>
          <t>TÖREBODA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46225</v>
      </c>
      <c r="F273" t="inlineStr">
        <is>
          <t>VÄSTRA GÖTALANDS LÄN</t>
        </is>
      </c>
      <c r="G273" t="inlineStr">
        <is>
          <t>TÖREBODA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46225</v>
      </c>
      <c r="F274" t="inlineStr">
        <is>
          <t>VÄSTRA GÖTALANDS LÄN</t>
        </is>
      </c>
      <c r="G274" t="inlineStr">
        <is>
          <t>TÖREBODA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34436-2022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44792</v>
      </c>
      <c r="E275" s="1" t="n">
        <v>46225</v>
      </c>
      <c r="F275" t="inlineStr">
        <is>
          <t>VÄSTRA GÖTALANDS LÄN</t>
        </is>
      </c>
      <c r="G275" t="inlineStr">
        <is>
          <t>TÖREBODA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46225</v>
      </c>
      <c r="F276" t="inlineStr">
        <is>
          <t>VÄSTRA GÖTALANDS LÄN</t>
        </is>
      </c>
      <c r="G276" t="inlineStr">
        <is>
          <t>TÖREBODA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4194-2024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45324</v>
      </c>
      <c r="E277" s="1" t="n">
        <v>46225</v>
      </c>
      <c r="F277" t="inlineStr">
        <is>
          <t>VÄSTRA GÖTALANDS LÄN</t>
        </is>
      </c>
      <c r="G277" t="inlineStr">
        <is>
          <t>TÖREBODA</t>
        </is>
      </c>
      <c r="I277" t="n">
        <v>28.9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45322</v>
      </c>
      <c r="E278" s="1" t="n">
        <v>46225</v>
      </c>
      <c r="F278" t="inlineStr">
        <is>
          <t>VÄSTRA GÖTALANDS LÄN</t>
        </is>
      </c>
      <c r="G278" t="inlineStr">
        <is>
          <t>TÖREBODA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45056</v>
      </c>
      <c r="E279" s="1" t="n">
        <v>46225</v>
      </c>
      <c r="F279" t="inlineStr">
        <is>
          <t>VÄSTRA GÖTALANDS LÄN</t>
        </is>
      </c>
      <c r="G279" t="inlineStr">
        <is>
          <t>TÖREBODA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44741</v>
      </c>
      <c r="E280" s="1" t="n">
        <v>46225</v>
      </c>
      <c r="F280" t="inlineStr">
        <is>
          <t>VÄSTRA GÖTALANDS LÄN</t>
        </is>
      </c>
      <c r="G280" t="inlineStr">
        <is>
          <t>TÖREBODA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56831-2022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44894</v>
      </c>
      <c r="E281" s="1" t="n">
        <v>46225</v>
      </c>
      <c r="F281" t="inlineStr">
        <is>
          <t>VÄSTRA GÖTALANDS LÄN</t>
        </is>
      </c>
      <c r="G281" t="inlineStr">
        <is>
          <t>TÖREBODA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46225</v>
      </c>
      <c r="F282" t="inlineStr">
        <is>
          <t>VÄSTRA GÖTALANDS LÄN</t>
        </is>
      </c>
      <c r="G282" t="inlineStr">
        <is>
          <t>TÖREBODA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45553</v>
      </c>
      <c r="E283" s="1" t="n">
        <v>46225</v>
      </c>
      <c r="F283" t="inlineStr">
        <is>
          <t>VÄSTRA GÖTALANDS LÄN</t>
        </is>
      </c>
      <c r="G283" t="inlineStr">
        <is>
          <t>TÖREBODA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46225</v>
      </c>
      <c r="F284" t="inlineStr">
        <is>
          <t>VÄSTRA GÖTALANDS LÄN</t>
        </is>
      </c>
      <c r="G284" t="inlineStr">
        <is>
          <t>TÖREBODA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41627-2022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46225</v>
      </c>
      <c r="F285" t="inlineStr">
        <is>
          <t>VÄSTRA GÖTALANDS LÄN</t>
        </is>
      </c>
      <c r="G285" t="inlineStr">
        <is>
          <t>TÖREBODA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41632-2022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46225</v>
      </c>
      <c r="F286" t="inlineStr">
        <is>
          <t>VÄSTRA GÖTALANDS LÄN</t>
        </is>
      </c>
      <c r="G286" t="inlineStr">
        <is>
          <t>TÖREBODA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46225</v>
      </c>
      <c r="F287" t="inlineStr">
        <is>
          <t>VÄSTRA GÖTALANDS LÄN</t>
        </is>
      </c>
      <c r="G287" t="inlineStr">
        <is>
          <t>TÖREBODA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46225</v>
      </c>
      <c r="F288" t="inlineStr">
        <is>
          <t>VÄSTRA GÖTALANDS LÄN</t>
        </is>
      </c>
      <c r="G288" t="inlineStr">
        <is>
          <t>TÖREBODA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46225</v>
      </c>
      <c r="F289" t="inlineStr">
        <is>
          <t>VÄSTRA GÖTALANDS LÄN</t>
        </is>
      </c>
      <c r="G289" t="inlineStr">
        <is>
          <t>TÖREBODA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46225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46225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46225</v>
      </c>
      <c r="F292" t="inlineStr">
        <is>
          <t>VÄSTRA GÖTALANDS LÄN</t>
        </is>
      </c>
      <c r="G292" t="inlineStr">
        <is>
          <t>TÖREBODA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46225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59438-2022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44907</v>
      </c>
      <c r="E294" s="1" t="n">
        <v>46225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45352</v>
      </c>
      <c r="E295" s="1" t="n">
        <v>46225</v>
      </c>
      <c r="F295" t="inlineStr">
        <is>
          <t>VÄSTRA GÖTALANDS LÄN</t>
        </is>
      </c>
      <c r="G295" t="inlineStr">
        <is>
          <t>TÖREBODA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46225</v>
      </c>
      <c r="F296" t="inlineStr">
        <is>
          <t>VÄSTRA GÖTALANDS LÄN</t>
        </is>
      </c>
      <c r="G296" t="inlineStr">
        <is>
          <t>TÖREBODA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46225</v>
      </c>
      <c r="F297" t="inlineStr">
        <is>
          <t>VÄSTRA GÖTALANDS LÄN</t>
        </is>
      </c>
      <c r="G297" t="inlineStr">
        <is>
          <t>TÖREBODA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46225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46225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46225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46225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46225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58006-2024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45631</v>
      </c>
      <c r="E303" s="1" t="n">
        <v>46225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46225</v>
      </c>
      <c r="F304" t="inlineStr">
        <is>
          <t>VÄSTRA GÖTALANDS LÄN</t>
        </is>
      </c>
      <c r="G304" t="inlineStr">
        <is>
          <t>TÖREBODA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46225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46225</v>
      </c>
      <c r="F306" t="inlineStr">
        <is>
          <t>VÄSTRA GÖTALANDS LÄN</t>
        </is>
      </c>
      <c r="G306" t="inlineStr">
        <is>
          <t>TÖREBODA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46225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46225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45493</v>
      </c>
      <c r="E309" s="1" t="n">
        <v>46225</v>
      </c>
      <c r="F309" t="inlineStr">
        <is>
          <t>VÄSTRA GÖTALANDS LÄN</t>
        </is>
      </c>
      <c r="G309" t="inlineStr">
        <is>
          <t>TÖREBODA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46225</v>
      </c>
      <c r="F310" t="inlineStr">
        <is>
          <t>VÄSTRA GÖTALANDS LÄN</t>
        </is>
      </c>
      <c r="G310" t="inlineStr">
        <is>
          <t>TÖREBODA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46225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46225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46225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46225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2026-07-22T01:36:25Z</dcterms:created>
  <dcterms:modified xmlns:dcterms="http://purl.org/dc/terms/" xmlns:xsi="http://www.w3.org/2001/XMLSchema-instance" xsi:type="dcterms:W3CDTF">2026-07-22T01:36:25Z</dcterms:modified>
</cp:coreProperties>
</file>