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46302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46302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46302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46302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46302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46302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46302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46302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46302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46302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46302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46302</v>
      </c>
      <c r="F17" t="inlineStr">
        <is>
          <t>VÄSTRA GÖTALANDS LÄN</t>
        </is>
      </c>
      <c r="G17" t="inlineStr">
        <is>
          <t>TÖREBODA</t>
        </is>
      </c>
      <c r="I17" t="n">
        <v>3.3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Mattlummer
Spillkråka</t>
        </is>
      </c>
      <c r="W17">
        <f>HYPERLINK("https://klasma.github.io/Logging_1473/artfynd/A 39656-2024 artfynd.xlsx", "A 39656-2024")</f>
        <v/>
      </c>
      <c r="X17">
        <f>HYPERLINK("https://klasma.github.io/Logging_1473/kartor/A 39656-2024 karta.png", "A 39656-2024")</f>
        <v/>
      </c>
      <c r="Y17">
        <f>HYPERLINK("https://klasma.github.io/Logging_1473/kartor_geotiff/A 39656-2024 georefererad karta.tif", "A 39656-2024")</f>
        <v/>
      </c>
      <c r="AA17">
        <f>HYPERLINK("https://klasma.github.io/Logging_1473/klagomål/A 39656-2024 FSC-klagomål.docx", "A 39656-2024")</f>
        <v/>
      </c>
      <c r="AB17">
        <f>HYPERLINK("https://klasma.github.io/Logging_1473/klagomålsmail/A 39656-2024 FSC-klagomål mail.docx", "A 39656-2024")</f>
        <v/>
      </c>
      <c r="AC17">
        <f>HYPERLINK("https://klasma.github.io/Logging_1473/tillsyn/A 39656-2024 tillsynsbegäran.docx", "A 39656-2024")</f>
        <v/>
      </c>
      <c r="AD17">
        <f>HYPERLINK("https://klasma.github.io/Logging_1473/tillsynsmail/A 39656-2024 tillsynsbegäran mail.docx", "A 39656-2024")</f>
        <v/>
      </c>
      <c r="AE17">
        <f>HYPERLINK("https://klasma.github.io/Logging_1473/fåglar/A 39656-2024 prioriterade fågelarter.docx", "A 39656-2024")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46302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46302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46302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46302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46302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55174-2024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45621</v>
      </c>
      <c r="E23" s="1" t="n">
        <v>46302</v>
      </c>
      <c r="F23" t="inlineStr">
        <is>
          <t>VÄSTRA GÖTALANDS LÄN</t>
        </is>
      </c>
      <c r="G23" t="inlineStr">
        <is>
          <t>TÖREBODA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HYPERLINK("https://klasma.github.io/Logging_1473/artfynd/A 55174-2024 artfynd.xlsx", "A 55174-2024")</f>
        <v/>
      </c>
      <c r="X23">
        <f>HYPERLINK("https://klasma.github.io/Logging_1473/kartor/A 55174-2024 karta.png", "A 55174-2024")</f>
        <v/>
      </c>
      <c r="Y23">
        <f>HYPERLINK("https://klasma.github.io/Logging_1473/kartor_geotiff/A 55174-2024 georefererad karta.tif", "A 55174-2024")</f>
        <v/>
      </c>
      <c r="AA23">
        <f>HYPERLINK("https://klasma.github.io/Logging_1473/klagomål/A 55174-2024 FSC-klagomål.docx", "A 55174-2024")</f>
        <v/>
      </c>
      <c r="AB23">
        <f>HYPERLINK("https://klasma.github.io/Logging_1473/klagomålsmail/A 55174-2024 FSC-klagomål mail.docx", "A 55174-2024")</f>
        <v/>
      </c>
      <c r="AC23">
        <f>HYPERLINK("https://klasma.github.io/Logging_1473/tillsyn/A 55174-2024 tillsynsbegäran.docx", "A 55174-2024")</f>
        <v/>
      </c>
      <c r="AD23">
        <f>HYPERLINK("https://klasma.github.io/Logging_1473/tillsynsmail/A 55174-2024 tillsynsbegäran mail.docx", "A 55174-2024")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46302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46302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14755-2025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46302</v>
      </c>
      <c r="F26" t="inlineStr">
        <is>
          <t>VÄSTRA GÖTALANDS LÄN</t>
        </is>
      </c>
      <c r="G26" t="inlineStr">
        <is>
          <t>TÖREBODA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Mattlummer</t>
        </is>
      </c>
      <c r="W26">
        <f>HYPERLINK("https://klasma.github.io/Logging_1473/artfynd/A 14755-2025 artfynd.xlsx", "A 14755-2025")</f>
        <v/>
      </c>
      <c r="X26">
        <f>HYPERLINK("https://klasma.github.io/Logging_1473/kartor/A 14755-2025 karta.png", "A 14755-2025")</f>
        <v/>
      </c>
      <c r="Y26">
        <f>HYPERLINK("https://klasma.github.io/Logging_1473/kartor_geotiff/A 14755-2025 georefererad karta.tif", "A 14755-2025")</f>
        <v/>
      </c>
      <c r="AA26">
        <f>HYPERLINK("https://klasma.github.io/Logging_1473/klagomål/A 14755-2025 FSC-klagomål.docx", "A 14755-2025")</f>
        <v/>
      </c>
      <c r="AB26">
        <f>HYPERLINK("https://klasma.github.io/Logging_1473/klagomålsmail/A 14755-2025 FSC-klagomål mail.docx", "A 14755-2025")</f>
        <v/>
      </c>
      <c r="AC26">
        <f>HYPERLINK("https://klasma.github.io/Logging_1473/tillsyn/A 14755-2025 tillsynsbegäran.docx", "A 14755-2025")</f>
        <v/>
      </c>
      <c r="AD26">
        <f>HYPERLINK("https://klasma.github.io/Logging_1473/tillsynsmail/A 14755-2025 tillsynsbegäran mail.docx", "A 14755-2025")</f>
        <v/>
      </c>
    </row>
    <row r="27" ht="15" customHeight="1">
      <c r="A27" t="inlineStr">
        <is>
          <t>A 9985-2023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44985</v>
      </c>
      <c r="E27" s="1" t="n">
        <v>46302</v>
      </c>
      <c r="F27" t="inlineStr">
        <is>
          <t>VÄSTRA GÖTALANDS LÄN</t>
        </is>
      </c>
      <c r="G27" t="inlineStr">
        <is>
          <t>TÖREBODA</t>
        </is>
      </c>
      <c r="I27" t="n">
        <v>5.5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HYPERLINK("https://klasma.github.io/Logging_1473/artfynd/A 9985-2023 artfynd.xlsx", "A 9985-2023")</f>
        <v/>
      </c>
      <c r="X27">
        <f>HYPERLINK("https://klasma.github.io/Logging_1473/kartor/A 9985-2023 karta.png", "A 9985-2023")</f>
        <v/>
      </c>
      <c r="Y27">
        <f>HYPERLINK("https://klasma.github.io/Logging_1473/kartor_geotiff/A 9985-2023 georefererad karta.tif", "A 9985-2023")</f>
        <v/>
      </c>
      <c r="AA27">
        <f>HYPERLINK("https://klasma.github.io/Logging_1473/klagomål/A 9985-2023 FSC-klagomål.docx", "A 9985-2023")</f>
        <v/>
      </c>
      <c r="AB27">
        <f>HYPERLINK("https://klasma.github.io/Logging_1473/klagomålsmail/A 9985-2023 FSC-klagomål mail.docx", "A 9985-2023")</f>
        <v/>
      </c>
      <c r="AC27">
        <f>HYPERLINK("https://klasma.github.io/Logging_1473/tillsyn/A 9985-2023 tillsynsbegäran.docx", "A 9985-2023")</f>
        <v/>
      </c>
      <c r="AD27">
        <f>HYPERLINK("https://klasma.github.io/Logging_1473/tillsynsmail/A 9985-2023 tillsynsbegäran mail.docx", "A 9985-2023")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46302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6160-2023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44964</v>
      </c>
      <c r="E29" s="1" t="n">
        <v>46302</v>
      </c>
      <c r="F29" t="inlineStr">
        <is>
          <t>VÄSTRA GÖTALANDS LÄN</t>
        </is>
      </c>
      <c r="G29" t="inlineStr">
        <is>
          <t>TÖREBODA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Havsörn</t>
        </is>
      </c>
      <c r="W29">
        <f>HYPERLINK("https://klasma.github.io/Logging_1473/artfynd/A 6160-2023 artfynd.xlsx", "A 6160-2023")</f>
        <v/>
      </c>
      <c r="X29">
        <f>HYPERLINK("https://klasma.github.io/Logging_1473/kartor/A 6160-2023 karta.png", "A 6160-2023")</f>
        <v/>
      </c>
      <c r="Y29">
        <f>HYPERLINK("https://klasma.github.io/Logging_1473/kartor_geotiff/A 6160-2023 georefererad karta.tif", "A 6160-2023")</f>
        <v/>
      </c>
      <c r="AA29">
        <f>HYPERLINK("https://klasma.github.io/Logging_1473/klagomål/A 6160-2023 FSC-klagomål.docx", "A 6160-2023")</f>
        <v/>
      </c>
      <c r="AB29">
        <f>HYPERLINK("https://klasma.github.io/Logging_1473/klagomålsmail/A 6160-2023 FSC-klagomål mail.docx", "A 6160-2023")</f>
        <v/>
      </c>
      <c r="AC29">
        <f>HYPERLINK("https://klasma.github.io/Logging_1473/tillsyn/A 6160-2023 tillsynsbegäran.docx", "A 6160-2023")</f>
        <v/>
      </c>
      <c r="AD29">
        <f>HYPERLINK("https://klasma.github.io/Logging_1473/tillsynsmail/A 6160-2023 tillsynsbegäran mail.docx", "A 6160-2023")</f>
        <v/>
      </c>
      <c r="AE29">
        <f>HYPERLINK("https://klasma.github.io/Logging_1473/fåglar/A 6160-2023 prioriterade fågelarter.docx", "A 6160-2023")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46302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8266-2022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46302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Sveaskog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Dofttaggsvamp</t>
        </is>
      </c>
      <c r="W31">
        <f>HYPERLINK("https://klasma.github.io/Logging_1473/artfynd/A 8266-2022 artfynd.xlsx", "A 8266-2022")</f>
        <v/>
      </c>
      <c r="X31">
        <f>HYPERLINK("https://klasma.github.io/Logging_1473/kartor/A 8266-2022 karta.png", "A 8266-2022")</f>
        <v/>
      </c>
      <c r="Y31">
        <f>HYPERLINK("https://klasma.github.io/Logging_1473/kartor_geotiff/A 8266-2022 georefererad karta.tif", "A 8266-2022")</f>
        <v/>
      </c>
      <c r="AA31">
        <f>HYPERLINK("https://klasma.github.io/Logging_1473/klagomål/A 8266-2022 FSC-klagomål.docx", "A 8266-2022")</f>
        <v/>
      </c>
      <c r="AB31">
        <f>HYPERLINK("https://klasma.github.io/Logging_1473/klagomålsmail/A 8266-2022 FSC-klagomål mail.docx", "A 8266-2022")</f>
        <v/>
      </c>
      <c r="AC31">
        <f>HYPERLINK("https://klasma.github.io/Logging_1473/tillsyn/A 8266-2022 tillsynsbegäran.docx", "A 8266-2022")</f>
        <v/>
      </c>
      <c r="AD31">
        <f>HYPERLINK("https://klasma.github.io/Logging_1473/tillsynsmail/A 8266-2022 tillsynsbegäran mail.docx", "A 8266-2022")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46302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12168-2025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45729</v>
      </c>
      <c r="E33" s="1" t="n">
        <v>46302</v>
      </c>
      <c r="F33" t="inlineStr">
        <is>
          <t>VÄSTRA GÖTALANDS LÄN</t>
        </is>
      </c>
      <c r="G33" t="inlineStr">
        <is>
          <t>TÖREBODA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HYPERLINK("https://klasma.github.io/Logging_1473/artfynd/A 12168-2025 artfynd.xlsx", "A 12168-2025")</f>
        <v/>
      </c>
      <c r="X33">
        <f>HYPERLINK("https://klasma.github.io/Logging_1473/kartor/A 12168-2025 karta.png", "A 12168-2025")</f>
        <v/>
      </c>
      <c r="Y33">
        <f>HYPERLINK("https://klasma.github.io/Logging_1473/kartor_geotiff/A 12168-2025 georefererad karta.tif", "A 12168-2025")</f>
        <v/>
      </c>
      <c r="AA33">
        <f>HYPERLINK("https://klasma.github.io/Logging_1473/klagomål/A 12168-2025 FSC-klagomål.docx", "A 12168-2025")</f>
        <v/>
      </c>
      <c r="AB33">
        <f>HYPERLINK("https://klasma.github.io/Logging_1473/klagomålsmail/A 12168-2025 FSC-klagomål mail.docx", "A 12168-2025")</f>
        <v/>
      </c>
      <c r="AC33">
        <f>HYPERLINK("https://klasma.github.io/Logging_1473/tillsyn/A 12168-2025 tillsynsbegäran.docx", "A 12168-2025")</f>
        <v/>
      </c>
      <c r="AD33">
        <f>HYPERLINK("https://klasma.github.io/Logging_1473/tillsynsmail/A 12168-2025 tillsynsbegäran mail.docx", "A 12168-2025")</f>
        <v/>
      </c>
      <c r="AE33">
        <f>HYPERLINK("https://klasma.github.io/Logging_1473/fåglar/A 12168-2025 prioriterade fågelarter.docx", "A 12168-2025")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46302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46302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46302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46302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46302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46302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46302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46302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46302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46302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46302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46302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46302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46302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46302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46302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46302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46302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46302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46302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46302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46302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46302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46302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46302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46302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46302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46302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46302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46302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46302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46302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46302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46302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46302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46302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46302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46302</v>
      </c>
      <c r="F71" t="inlineStr">
        <is>
          <t>VÄSTRA GÖTALANDS LÄN</t>
        </is>
      </c>
      <c r="G71" t="inlineStr">
        <is>
          <t>TÖREBODA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45076</v>
      </c>
      <c r="E72" s="1" t="n">
        <v>46302</v>
      </c>
      <c r="F72" t="inlineStr">
        <is>
          <t>VÄSTRA GÖTALANDS LÄN</t>
        </is>
      </c>
      <c r="G72" t="inlineStr">
        <is>
          <t>TÖREBODA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46302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46302</v>
      </c>
      <c r="F74" t="inlineStr">
        <is>
          <t>VÄSTRA GÖTALANDS LÄN</t>
        </is>
      </c>
      <c r="G74" t="inlineStr">
        <is>
          <t>TÖREBODA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44956</v>
      </c>
      <c r="E75" s="1" t="n">
        <v>46302</v>
      </c>
      <c r="F75" t="inlineStr">
        <is>
          <t>VÄSTRA GÖTALANDS LÄN</t>
        </is>
      </c>
      <c r="G75" t="inlineStr">
        <is>
          <t>TÖREBODA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46302</v>
      </c>
      <c r="F76" t="inlineStr">
        <is>
          <t>VÄSTRA GÖTALANDS LÄN</t>
        </is>
      </c>
      <c r="G76" t="inlineStr">
        <is>
          <t>TÖREBODA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46302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46302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46302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46302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46302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46302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46302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45643</v>
      </c>
      <c r="E84" s="1" t="n">
        <v>46302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44664</v>
      </c>
      <c r="E85" s="1" t="n">
        <v>46302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46302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46302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46302</v>
      </c>
      <c r="F88" t="inlineStr">
        <is>
          <t>VÄSTRA GÖTALANDS LÄN</t>
        </is>
      </c>
      <c r="G88" t="inlineStr">
        <is>
          <t>TÖREBODA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44741</v>
      </c>
      <c r="E89" s="1" t="n">
        <v>46302</v>
      </c>
      <c r="F89" t="inlineStr">
        <is>
          <t>VÄSTRA GÖTALANDS LÄN</t>
        </is>
      </c>
      <c r="G89" t="inlineStr">
        <is>
          <t>TÖREBODA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46302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46302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46302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46302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46302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45885</v>
      </c>
      <c r="E95" s="1" t="n">
        <v>46302</v>
      </c>
      <c r="F95" t="inlineStr">
        <is>
          <t>VÄSTRA GÖTALANDS LÄN</t>
        </is>
      </c>
      <c r="G95" t="inlineStr">
        <is>
          <t>TÖREBODA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46302</v>
      </c>
      <c r="F96" t="inlineStr">
        <is>
          <t>VÄSTRA GÖTALANDS LÄN</t>
        </is>
      </c>
      <c r="G96" t="inlineStr">
        <is>
          <t>TÖREBODA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45460</v>
      </c>
      <c r="E97" s="1" t="n">
        <v>46302</v>
      </c>
      <c r="F97" t="inlineStr">
        <is>
          <t>VÄSTRA GÖTALANDS LÄN</t>
        </is>
      </c>
      <c r="G97" t="inlineStr">
        <is>
          <t>TÖREBODA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64799-2023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46302</v>
      </c>
      <c r="F98" t="inlineStr">
        <is>
          <t>VÄSTRA GÖTALANDS LÄN</t>
        </is>
      </c>
      <c r="G98" t="inlineStr">
        <is>
          <t>TÖREBODA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26941-2025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45811</v>
      </c>
      <c r="E99" s="1" t="n">
        <v>46302</v>
      </c>
      <c r="F99" t="inlineStr">
        <is>
          <t>VÄSTRA GÖTALANDS LÄN</t>
        </is>
      </c>
      <c r="G99" t="inlineStr">
        <is>
          <t>TÖREBODA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45811</v>
      </c>
      <c r="E100" s="1" t="n">
        <v>46302</v>
      </c>
      <c r="F100" t="inlineStr">
        <is>
          <t>VÄSTRA GÖTALANDS LÄN</t>
        </is>
      </c>
      <c r="G100" t="inlineStr">
        <is>
          <t>TÖREBODA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44988</v>
      </c>
      <c r="E101" s="1" t="n">
        <v>46302</v>
      </c>
      <c r="F101" t="inlineStr">
        <is>
          <t>VÄSTRA GÖTALANDS LÄN</t>
        </is>
      </c>
      <c r="G101" t="inlineStr">
        <is>
          <t>TÖREBODA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44987</v>
      </c>
      <c r="E102" s="1" t="n">
        <v>46302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44987</v>
      </c>
      <c r="E103" s="1" t="n">
        <v>46302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46302</v>
      </c>
      <c r="F104" t="inlineStr">
        <is>
          <t>VÄSTRA GÖTALANDS LÄN</t>
        </is>
      </c>
      <c r="G104" t="inlineStr">
        <is>
          <t>TÖREBODA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44901</v>
      </c>
      <c r="E105" s="1" t="n">
        <v>46302</v>
      </c>
      <c r="F105" t="inlineStr">
        <is>
          <t>VÄSTRA GÖTALANDS LÄN</t>
        </is>
      </c>
      <c r="G105" t="inlineStr">
        <is>
          <t>TÖREBODA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46057</v>
      </c>
      <c r="E106" s="1" t="n">
        <v>46302</v>
      </c>
      <c r="F106" t="inlineStr">
        <is>
          <t>VÄSTRA GÖTALANDS LÄN</t>
        </is>
      </c>
      <c r="G106" t="inlineStr">
        <is>
          <t>TÖREBODA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44571</v>
      </c>
      <c r="E107" s="1" t="n">
        <v>46302</v>
      </c>
      <c r="F107" t="inlineStr">
        <is>
          <t>VÄSTRA GÖTALANDS LÄN</t>
        </is>
      </c>
      <c r="G107" t="inlineStr">
        <is>
          <t>TÖREBODA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46302</v>
      </c>
      <c r="F108" t="inlineStr">
        <is>
          <t>VÄSTRA GÖTALANDS LÄN</t>
        </is>
      </c>
      <c r="G108" t="inlineStr">
        <is>
          <t>TÖREBODA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46302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46302</v>
      </c>
      <c r="F110" t="inlineStr">
        <is>
          <t>VÄSTRA GÖTALANDS LÄN</t>
        </is>
      </c>
      <c r="G110" t="inlineStr">
        <is>
          <t>TÖREBODA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46302</v>
      </c>
      <c r="F111" t="inlineStr">
        <is>
          <t>VÄSTRA GÖTALANDS LÄN</t>
        </is>
      </c>
      <c r="G111" t="inlineStr">
        <is>
          <t>TÖREBODA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46302</v>
      </c>
      <c r="F112" t="inlineStr">
        <is>
          <t>VÄSTRA GÖTALANDS LÄN</t>
        </is>
      </c>
      <c r="G112" t="inlineStr">
        <is>
          <t>TÖREBODA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46302</v>
      </c>
      <c r="F113" t="inlineStr">
        <is>
          <t>VÄSTRA GÖTALANDS LÄN</t>
        </is>
      </c>
      <c r="G113" t="inlineStr">
        <is>
          <t>TÖREBODA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45569</v>
      </c>
      <c r="E114" s="1" t="n">
        <v>46302</v>
      </c>
      <c r="F114" t="inlineStr">
        <is>
          <t>VÄSTRA GÖTALANDS LÄN</t>
        </is>
      </c>
      <c r="G114" t="inlineStr">
        <is>
          <t>TÖREBODA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45803</v>
      </c>
      <c r="E115" s="1" t="n">
        <v>46302</v>
      </c>
      <c r="F115" t="inlineStr">
        <is>
          <t>VÄSTRA GÖTALANDS LÄN</t>
        </is>
      </c>
      <c r="G115" t="inlineStr">
        <is>
          <t>TÖREBODA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46302</v>
      </c>
      <c r="F116" t="inlineStr">
        <is>
          <t>VÄSTRA GÖTALANDS LÄN</t>
        </is>
      </c>
      <c r="G116" t="inlineStr">
        <is>
          <t>TÖREBODA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46302</v>
      </c>
      <c r="F117" t="inlineStr">
        <is>
          <t>VÄSTRA GÖTALANDS LÄN</t>
        </is>
      </c>
      <c r="G117" t="inlineStr">
        <is>
          <t>TÖREBODA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46302</v>
      </c>
      <c r="F118" t="inlineStr">
        <is>
          <t>VÄSTRA GÖTALANDS LÄN</t>
        </is>
      </c>
      <c r="G118" t="inlineStr">
        <is>
          <t>TÖREBODA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45924</v>
      </c>
      <c r="E119" s="1" t="n">
        <v>46302</v>
      </c>
      <c r="F119" t="inlineStr">
        <is>
          <t>VÄSTRA GÖTALANDS LÄN</t>
        </is>
      </c>
      <c r="G119" t="inlineStr">
        <is>
          <t>TÖREBODA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46302</v>
      </c>
      <c r="F120" t="inlineStr">
        <is>
          <t>VÄSTRA GÖTALANDS LÄN</t>
        </is>
      </c>
      <c r="G120" t="inlineStr">
        <is>
          <t>TÖREBODA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46302</v>
      </c>
      <c r="F121" t="inlineStr">
        <is>
          <t>VÄSTRA GÖTALANDS LÄN</t>
        </is>
      </c>
      <c r="G121" t="inlineStr">
        <is>
          <t>TÖREBODA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46302</v>
      </c>
      <c r="F122" t="inlineStr">
        <is>
          <t>VÄSTRA GÖTALANDS LÄN</t>
        </is>
      </c>
      <c r="G122" t="inlineStr">
        <is>
          <t>TÖREBODA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44749</v>
      </c>
      <c r="E123" s="1" t="n">
        <v>46302</v>
      </c>
      <c r="F123" t="inlineStr">
        <is>
          <t>VÄSTRA GÖTALANDS LÄN</t>
        </is>
      </c>
      <c r="G123" t="inlineStr">
        <is>
          <t>TÖREBODA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46302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46302</v>
      </c>
      <c r="F125" t="inlineStr">
        <is>
          <t>VÄSTRA GÖTALANDS LÄN</t>
        </is>
      </c>
      <c r="G125" t="inlineStr">
        <is>
          <t>TÖREBODA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32155-2025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46302</v>
      </c>
      <c r="F126" t="inlineStr">
        <is>
          <t>VÄSTRA GÖTALANDS LÄN</t>
        </is>
      </c>
      <c r="G126" t="inlineStr">
        <is>
          <t>TÖREBODA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46302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56273-2022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44890</v>
      </c>
      <c r="E128" s="1" t="n">
        <v>46302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statliga verk och myndigheter</t>
        </is>
      </c>
      <c r="I128" t="n">
        <v>12.6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46302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46302</v>
      </c>
      <c r="F130" t="inlineStr">
        <is>
          <t>VÄSTRA GÖTALANDS LÄN</t>
        </is>
      </c>
      <c r="G130" t="inlineStr">
        <is>
          <t>TÖREBODA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46302</v>
      </c>
      <c r="F131" t="inlineStr">
        <is>
          <t>VÄSTRA GÖTALANDS LÄN</t>
        </is>
      </c>
      <c r="G131" t="inlineStr">
        <is>
          <t>TÖREBODA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46302</v>
      </c>
      <c r="F132" t="inlineStr">
        <is>
          <t>VÄSTRA GÖTALANDS LÄN</t>
        </is>
      </c>
      <c r="G132" t="inlineStr">
        <is>
          <t>TÖREBODA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46302</v>
      </c>
      <c r="F133" t="inlineStr">
        <is>
          <t>VÄSTRA GÖTALANDS LÄN</t>
        </is>
      </c>
      <c r="G133" t="inlineStr">
        <is>
          <t>TÖREBODA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46302</v>
      </c>
      <c r="F134" t="inlineStr">
        <is>
          <t>VÄSTRA GÖTALANDS LÄN</t>
        </is>
      </c>
      <c r="G134" t="inlineStr">
        <is>
          <t>TÖREBODA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46302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Sveaskog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56831-2022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44894</v>
      </c>
      <c r="E136" s="1" t="n">
        <v>46302</v>
      </c>
      <c r="F136" t="inlineStr">
        <is>
          <t>VÄSTRA GÖTALANDS LÄN</t>
        </is>
      </c>
      <c r="G136" t="inlineStr">
        <is>
          <t>TÖREBODA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46302</v>
      </c>
      <c r="F137" t="inlineStr">
        <is>
          <t>VÄSTRA GÖTALANDS LÄN</t>
        </is>
      </c>
      <c r="G137" t="inlineStr">
        <is>
          <t>TÖREBODA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46302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45627</v>
      </c>
      <c r="E139" s="1" t="n">
        <v>46302</v>
      </c>
      <c r="F139" t="inlineStr">
        <is>
          <t>VÄSTRA GÖTALANDS LÄN</t>
        </is>
      </c>
      <c r="G139" t="inlineStr">
        <is>
          <t>TÖREBODA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46302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46302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Övriga statliga verk och myndigheter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46302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statliga verk och myndigheter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46302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Övriga statliga verk och myndigheter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46302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46302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Övriga statliga verk och myndigheter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45764</v>
      </c>
      <c r="E146" s="1" t="n">
        <v>46302</v>
      </c>
      <c r="F146" t="inlineStr">
        <is>
          <t>VÄSTRA GÖTALANDS LÄN</t>
        </is>
      </c>
      <c r="G146" t="inlineStr">
        <is>
          <t>TÖREBODA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15567-2026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46106</v>
      </c>
      <c r="E147" s="1" t="n">
        <v>46302</v>
      </c>
      <c r="F147" t="inlineStr">
        <is>
          <t>VÄSTRA GÖTALANDS LÄN</t>
        </is>
      </c>
      <c r="G147" t="inlineStr">
        <is>
          <t>TÖREBODA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45341</v>
      </c>
      <c r="E148" s="1" t="n">
        <v>46302</v>
      </c>
      <c r="F148" t="inlineStr">
        <is>
          <t>VÄSTRA GÖTALANDS LÄN</t>
        </is>
      </c>
      <c r="G148" t="inlineStr">
        <is>
          <t>TÖREBODA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46302</v>
      </c>
      <c r="F149" t="inlineStr">
        <is>
          <t>VÄSTRA GÖTALANDS LÄN</t>
        </is>
      </c>
      <c r="G149" t="inlineStr">
        <is>
          <t>TÖREBODA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46302</v>
      </c>
      <c r="F150" t="inlineStr">
        <is>
          <t>VÄSTRA GÖTALANDS LÄN</t>
        </is>
      </c>
      <c r="G150" t="inlineStr">
        <is>
          <t>TÖREBODA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46302</v>
      </c>
      <c r="F151" t="inlineStr">
        <is>
          <t>VÄSTRA GÖTALANDS LÄN</t>
        </is>
      </c>
      <c r="G151" t="inlineStr">
        <is>
          <t>TÖREBODA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46302</v>
      </c>
      <c r="F152" t="inlineStr">
        <is>
          <t>VÄSTRA GÖTALANDS LÄN</t>
        </is>
      </c>
      <c r="G152" t="inlineStr">
        <is>
          <t>TÖREBODA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46302</v>
      </c>
      <c r="F153" t="inlineStr">
        <is>
          <t>VÄSTRA GÖTALANDS LÄN</t>
        </is>
      </c>
      <c r="G153" t="inlineStr">
        <is>
          <t>TÖREBODA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44978</v>
      </c>
      <c r="E154" s="1" t="n">
        <v>46302</v>
      </c>
      <c r="F154" t="inlineStr">
        <is>
          <t>VÄSTRA GÖTALANDS LÄN</t>
        </is>
      </c>
      <c r="G154" t="inlineStr">
        <is>
          <t>TÖREBODA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46302</v>
      </c>
      <c r="F155" t="inlineStr">
        <is>
          <t>VÄSTRA GÖTALANDS LÄN</t>
        </is>
      </c>
      <c r="G155" t="inlineStr">
        <is>
          <t>TÖREBODA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46302</v>
      </c>
      <c r="F156" t="inlineStr">
        <is>
          <t>VÄSTRA GÖTALANDS LÄN</t>
        </is>
      </c>
      <c r="G156" t="inlineStr">
        <is>
          <t>TÖREBODA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46302</v>
      </c>
      <c r="F157" t="inlineStr">
        <is>
          <t>VÄSTRA GÖTALANDS LÄN</t>
        </is>
      </c>
      <c r="G157" t="inlineStr">
        <is>
          <t>TÖREBODA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46122</v>
      </c>
      <c r="E158" s="1" t="n">
        <v>46302</v>
      </c>
      <c r="F158" t="inlineStr">
        <is>
          <t>VÄSTRA GÖTALANDS LÄN</t>
        </is>
      </c>
      <c r="G158" t="inlineStr">
        <is>
          <t>TÖREBODA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45961</v>
      </c>
      <c r="E159" s="1" t="n">
        <v>46302</v>
      </c>
      <c r="F159" t="inlineStr">
        <is>
          <t>VÄSTRA GÖTALANDS LÄN</t>
        </is>
      </c>
      <c r="G159" t="inlineStr">
        <is>
          <t>TÖREBODA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46302</v>
      </c>
      <c r="F160" t="inlineStr">
        <is>
          <t>VÄSTRA GÖTALANDS LÄN</t>
        </is>
      </c>
      <c r="G160" t="inlineStr">
        <is>
          <t>TÖREBODA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44924</v>
      </c>
      <c r="E161" s="1" t="n">
        <v>46302</v>
      </c>
      <c r="F161" t="inlineStr">
        <is>
          <t>VÄSTRA GÖTALANDS LÄN</t>
        </is>
      </c>
      <c r="G161" t="inlineStr">
        <is>
          <t>TÖREBODA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45233</v>
      </c>
      <c r="E162" s="1" t="n">
        <v>46302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Övriga statliga verk och myndigheter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29891-2022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44756</v>
      </c>
      <c r="E163" s="1" t="n">
        <v>46302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55593-2025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45971</v>
      </c>
      <c r="E164" s="1" t="n">
        <v>46302</v>
      </c>
      <c r="F164" t="inlineStr">
        <is>
          <t>VÄSTRA GÖTALANDS LÄN</t>
        </is>
      </c>
      <c r="G164" t="inlineStr">
        <is>
          <t>TÖREBODA</t>
        </is>
      </c>
      <c r="I164" t="n">
        <v>20.8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19706-2026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46134</v>
      </c>
      <c r="E165" s="1" t="n">
        <v>46302</v>
      </c>
      <c r="F165" t="inlineStr">
        <is>
          <t>VÄSTRA GÖTALANDS LÄN</t>
        </is>
      </c>
      <c r="G165" t="inlineStr">
        <is>
          <t>TÖREBODA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46302</v>
      </c>
      <c r="F166" t="inlineStr">
        <is>
          <t>VÄSTRA GÖTALANDS LÄN</t>
        </is>
      </c>
      <c r="G166" t="inlineStr">
        <is>
          <t>TÖREBODA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46302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46302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45885</v>
      </c>
      <c r="E169" s="1" t="n">
        <v>46302</v>
      </c>
      <c r="F169" t="inlineStr">
        <is>
          <t>VÄSTRA GÖTALANDS LÄN</t>
        </is>
      </c>
      <c r="G169" t="inlineStr">
        <is>
          <t>TÖREBODA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45885</v>
      </c>
      <c r="E170" s="1" t="n">
        <v>46302</v>
      </c>
      <c r="F170" t="inlineStr">
        <is>
          <t>VÄSTRA GÖTALANDS LÄN</t>
        </is>
      </c>
      <c r="G170" t="inlineStr">
        <is>
          <t>TÖREBODA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46302</v>
      </c>
      <c r="F171" t="inlineStr">
        <is>
          <t>VÄSTRA GÖTALANDS LÄN</t>
        </is>
      </c>
      <c r="G171" t="inlineStr">
        <is>
          <t>TÖREBODA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46302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55766-2025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45972</v>
      </c>
      <c r="E173" s="1" t="n">
        <v>46302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34865-2023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46302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46302</v>
      </c>
      <c r="F175" t="inlineStr">
        <is>
          <t>VÄSTRA GÖTALANDS LÄN</t>
        </is>
      </c>
      <c r="G175" t="inlineStr">
        <is>
          <t>TÖREBODA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46302</v>
      </c>
      <c r="F176" t="inlineStr">
        <is>
          <t>VÄSTRA GÖTALANDS LÄN</t>
        </is>
      </c>
      <c r="G176" t="inlineStr">
        <is>
          <t>TÖREBODA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46302</v>
      </c>
      <c r="F177" t="inlineStr">
        <is>
          <t>VÄSTRA GÖTALANDS LÄN</t>
        </is>
      </c>
      <c r="G177" t="inlineStr">
        <is>
          <t>TÖREBODA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45750</v>
      </c>
      <c r="E178" s="1" t="n">
        <v>46302</v>
      </c>
      <c r="F178" t="inlineStr">
        <is>
          <t>VÄSTRA GÖTALANDS LÄN</t>
        </is>
      </c>
      <c r="G178" t="inlineStr">
        <is>
          <t>TÖREBODA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46302</v>
      </c>
      <c r="F179" t="inlineStr">
        <is>
          <t>VÄSTRA GÖTALANDS LÄN</t>
        </is>
      </c>
      <c r="G179" t="inlineStr">
        <is>
          <t>TÖREBODA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46302</v>
      </c>
      <c r="F180" t="inlineStr">
        <is>
          <t>VÄSTRA GÖTALANDS LÄN</t>
        </is>
      </c>
      <c r="G180" t="inlineStr">
        <is>
          <t>TÖREBODA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46302</v>
      </c>
      <c r="F181" t="inlineStr">
        <is>
          <t>VÄSTRA GÖTALANDS LÄN</t>
        </is>
      </c>
      <c r="G181" t="inlineStr">
        <is>
          <t>TÖREBODA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46009</v>
      </c>
      <c r="E182" s="1" t="n">
        <v>46302</v>
      </c>
      <c r="F182" t="inlineStr">
        <is>
          <t>VÄSTRA GÖTALANDS LÄN</t>
        </is>
      </c>
      <c r="G182" t="inlineStr">
        <is>
          <t>TÖREBODA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46302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46302</v>
      </c>
      <c r="F184" t="inlineStr">
        <is>
          <t>VÄSTRA GÖTALANDS LÄN</t>
        </is>
      </c>
      <c r="G184" t="inlineStr">
        <is>
          <t>TÖREBODA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21187-2026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46146</v>
      </c>
      <c r="E185" s="1" t="n">
        <v>46302</v>
      </c>
      <c r="F185" t="inlineStr">
        <is>
          <t>VÄSTRA GÖTALANDS LÄN</t>
        </is>
      </c>
      <c r="G185" t="inlineStr">
        <is>
          <t>TÖREBODA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46152</v>
      </c>
      <c r="E186" s="1" t="n">
        <v>46302</v>
      </c>
      <c r="F186" t="inlineStr">
        <is>
          <t>VÄSTRA GÖTALANDS LÄN</t>
        </is>
      </c>
      <c r="G186" t="inlineStr">
        <is>
          <t>TÖREBODA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46152</v>
      </c>
      <c r="E187" s="1" t="n">
        <v>46302</v>
      </c>
      <c r="F187" t="inlineStr">
        <is>
          <t>VÄSTRA GÖTALANDS LÄN</t>
        </is>
      </c>
      <c r="G187" t="inlineStr">
        <is>
          <t>TÖREBODA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21968-2026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46152</v>
      </c>
      <c r="E188" s="1" t="n">
        <v>46302</v>
      </c>
      <c r="F188" t="inlineStr">
        <is>
          <t>VÄSTRA GÖTALANDS LÄN</t>
        </is>
      </c>
      <c r="G188" t="inlineStr">
        <is>
          <t>TÖREBODA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46152</v>
      </c>
      <c r="E189" s="1" t="n">
        <v>46302</v>
      </c>
      <c r="F189" t="inlineStr">
        <is>
          <t>VÄSTRA GÖTALANDS LÄN</t>
        </is>
      </c>
      <c r="G189" t="inlineStr">
        <is>
          <t>TÖREBODA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46152</v>
      </c>
      <c r="E190" s="1" t="n">
        <v>46302</v>
      </c>
      <c r="F190" t="inlineStr">
        <is>
          <t>VÄSTRA GÖTALANDS LÄN</t>
        </is>
      </c>
      <c r="G190" t="inlineStr">
        <is>
          <t>TÖREBODA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46152</v>
      </c>
      <c r="E191" s="1" t="n">
        <v>46302</v>
      </c>
      <c r="F191" t="inlineStr">
        <is>
          <t>VÄSTRA GÖTALANDS LÄN</t>
        </is>
      </c>
      <c r="G191" t="inlineStr">
        <is>
          <t>TÖREBODA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46152</v>
      </c>
      <c r="E192" s="1" t="n">
        <v>46302</v>
      </c>
      <c r="F192" t="inlineStr">
        <is>
          <t>VÄSTRA GÖTALANDS LÄN</t>
        </is>
      </c>
      <c r="G192" t="inlineStr">
        <is>
          <t>TÖREBODA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46152</v>
      </c>
      <c r="E193" s="1" t="n">
        <v>46302</v>
      </c>
      <c r="F193" t="inlineStr">
        <is>
          <t>VÄSTRA GÖTALANDS LÄN</t>
        </is>
      </c>
      <c r="G193" t="inlineStr">
        <is>
          <t>TÖREBODA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46302</v>
      </c>
      <c r="F194" t="inlineStr">
        <is>
          <t>VÄSTRA GÖTALANDS LÄN</t>
        </is>
      </c>
      <c r="G194" t="inlineStr">
        <is>
          <t>TÖREBODA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46302</v>
      </c>
      <c r="F195" t="inlineStr">
        <is>
          <t>VÄSTRA GÖTALANDS LÄN</t>
        </is>
      </c>
      <c r="G195" t="inlineStr">
        <is>
          <t>TÖREBODA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46302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46302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46302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Sveaskog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46302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58123-2022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46302</v>
      </c>
      <c r="F200" t="inlineStr">
        <is>
          <t>VÄSTRA GÖTALANDS LÄN</t>
        </is>
      </c>
      <c r="G200" t="inlineStr">
        <is>
          <t>TÖREBODA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46302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46302</v>
      </c>
      <c r="F202" t="inlineStr">
        <is>
          <t>VÄSTRA GÖTALANDS LÄN</t>
        </is>
      </c>
      <c r="G202" t="inlineStr">
        <is>
          <t>TÖREBODA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45328</v>
      </c>
      <c r="E203" s="1" t="n">
        <v>46302</v>
      </c>
      <c r="F203" t="inlineStr">
        <is>
          <t>VÄSTRA GÖTALANDS LÄN</t>
        </is>
      </c>
      <c r="G203" t="inlineStr">
        <is>
          <t>TÖREBODA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44978</v>
      </c>
      <c r="E204" s="1" t="n">
        <v>46302</v>
      </c>
      <c r="F204" t="inlineStr">
        <is>
          <t>VÄSTRA GÖTALANDS LÄN</t>
        </is>
      </c>
      <c r="G204" t="inlineStr">
        <is>
          <t>TÖREBODA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46302</v>
      </c>
      <c r="F205" t="inlineStr">
        <is>
          <t>VÄSTRA GÖTALANDS LÄN</t>
        </is>
      </c>
      <c r="G205" t="inlineStr">
        <is>
          <t>TÖREBODA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45443</v>
      </c>
      <c r="E206" s="1" t="n">
        <v>46302</v>
      </c>
      <c r="F206" t="inlineStr">
        <is>
          <t>VÄSTRA GÖTALANDS LÄN</t>
        </is>
      </c>
      <c r="G206" t="inlineStr">
        <is>
          <t>TÖREBODA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44853</v>
      </c>
      <c r="E207" s="1" t="n">
        <v>46302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46302</v>
      </c>
      <c r="F208" t="inlineStr">
        <is>
          <t>VÄSTRA GÖTALANDS LÄN</t>
        </is>
      </c>
      <c r="G208" t="inlineStr">
        <is>
          <t>TÖREBODA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46302</v>
      </c>
      <c r="F209" t="inlineStr">
        <is>
          <t>VÄSTRA GÖTALANDS LÄN</t>
        </is>
      </c>
      <c r="G209" t="inlineStr">
        <is>
          <t>TÖREBODA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46302</v>
      </c>
      <c r="F210" t="inlineStr">
        <is>
          <t>VÄSTRA GÖTALANDS LÄN</t>
        </is>
      </c>
      <c r="G210" t="inlineStr">
        <is>
          <t>TÖREBODA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45405</v>
      </c>
      <c r="E211" s="1" t="n">
        <v>46302</v>
      </c>
      <c r="F211" t="inlineStr">
        <is>
          <t>VÄSTRA GÖTALANDS LÄN</t>
        </is>
      </c>
      <c r="G211" t="inlineStr">
        <is>
          <t>TÖREBODA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45352</v>
      </c>
      <c r="E212" s="1" t="n">
        <v>46302</v>
      </c>
      <c r="F212" t="inlineStr">
        <is>
          <t>VÄSTRA GÖTALANDS LÄN</t>
        </is>
      </c>
      <c r="G212" t="inlineStr">
        <is>
          <t>TÖREBODA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46302</v>
      </c>
      <c r="F213" t="inlineStr">
        <is>
          <t>VÄSTRA GÖTALANDS LÄN</t>
        </is>
      </c>
      <c r="G213" t="inlineStr">
        <is>
          <t>TÖREBODA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46302</v>
      </c>
      <c r="F214" t="inlineStr">
        <is>
          <t>VÄSTRA GÖTALANDS LÄN</t>
        </is>
      </c>
      <c r="G214" t="inlineStr">
        <is>
          <t>TÖREBODA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45553</v>
      </c>
      <c r="E215" s="1" t="n">
        <v>46302</v>
      </c>
      <c r="F215" t="inlineStr">
        <is>
          <t>VÄSTRA GÖTALANDS LÄN</t>
        </is>
      </c>
      <c r="G215" t="inlineStr">
        <is>
          <t>TÖREBODA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45349</v>
      </c>
      <c r="E216" s="1" t="n">
        <v>46302</v>
      </c>
      <c r="F216" t="inlineStr">
        <is>
          <t>VÄSTRA GÖTALANDS LÄN</t>
        </is>
      </c>
      <c r="G216" t="inlineStr">
        <is>
          <t>TÖREBODA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46302</v>
      </c>
      <c r="F217" t="inlineStr">
        <is>
          <t>VÄSTRA GÖTALANDS LÄN</t>
        </is>
      </c>
      <c r="G217" t="inlineStr">
        <is>
          <t>TÖREBODA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46302</v>
      </c>
      <c r="F218" t="inlineStr">
        <is>
          <t>VÄSTRA GÖTALANDS LÄN</t>
        </is>
      </c>
      <c r="G218" t="inlineStr">
        <is>
          <t>TÖREBODA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45460</v>
      </c>
      <c r="E219" s="1" t="n">
        <v>46302</v>
      </c>
      <c r="F219" t="inlineStr">
        <is>
          <t>VÄSTRA GÖTALANDS LÄN</t>
        </is>
      </c>
      <c r="G219" t="inlineStr">
        <is>
          <t>TÖREBODA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46302</v>
      </c>
      <c r="F220" t="inlineStr">
        <is>
          <t>VÄSTRA GÖTALANDS LÄN</t>
        </is>
      </c>
      <c r="G220" t="inlineStr">
        <is>
          <t>TÖREBODA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30200-2026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46206</v>
      </c>
      <c r="E221" s="1" t="n">
        <v>46302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46302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Sveaskog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46302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45685</v>
      </c>
      <c r="E224" s="1" t="n">
        <v>46302</v>
      </c>
      <c r="F224" t="inlineStr">
        <is>
          <t>VÄSTRA GÖTALANDS LÄN</t>
        </is>
      </c>
      <c r="G224" t="inlineStr">
        <is>
          <t>TÖREBODA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46302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46302</v>
      </c>
      <c r="F226" t="inlineStr">
        <is>
          <t>VÄSTRA GÖTALANDS LÄN</t>
        </is>
      </c>
      <c r="G226" t="inlineStr">
        <is>
          <t>TÖREBODA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45531</v>
      </c>
      <c r="E227" s="1" t="n">
        <v>46302</v>
      </c>
      <c r="F227" t="inlineStr">
        <is>
          <t>VÄSTRA GÖTALANDS LÄN</t>
        </is>
      </c>
      <c r="G227" t="inlineStr">
        <is>
          <t>TÖREBODA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45096</v>
      </c>
      <c r="E228" s="1" t="n">
        <v>46302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Övriga statliga verk och myndigheter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46302</v>
      </c>
      <c r="F229" t="inlineStr">
        <is>
          <t>VÄSTRA GÖTALANDS LÄN</t>
        </is>
      </c>
      <c r="G229" t="inlineStr">
        <is>
          <t>TÖREBODA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45627</v>
      </c>
      <c r="E230" s="1" t="n">
        <v>46302</v>
      </c>
      <c r="F230" t="inlineStr">
        <is>
          <t>VÄSTRA GÖTALANDS LÄN</t>
        </is>
      </c>
      <c r="G230" t="inlineStr">
        <is>
          <t>TÖREBODA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44792</v>
      </c>
      <c r="E231" s="1" t="n">
        <v>46302</v>
      </c>
      <c r="F231" t="inlineStr">
        <is>
          <t>VÄSTRA GÖTALANDS LÄN</t>
        </is>
      </c>
      <c r="G231" t="inlineStr">
        <is>
          <t>TÖREBODA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45156</v>
      </c>
      <c r="E232" s="1" t="n">
        <v>46302</v>
      </c>
      <c r="F232" t="inlineStr">
        <is>
          <t>VÄSTRA GÖTALANDS LÄN</t>
        </is>
      </c>
      <c r="G232" t="inlineStr">
        <is>
          <t>TÖREBODA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45322</v>
      </c>
      <c r="E233" s="1" t="n">
        <v>46302</v>
      </c>
      <c r="F233" t="inlineStr">
        <is>
          <t>VÄSTRA GÖTALANDS LÄN</t>
        </is>
      </c>
      <c r="G233" t="inlineStr">
        <is>
          <t>TÖREBODA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11683-2024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45373</v>
      </c>
      <c r="E234" s="1" t="n">
        <v>46302</v>
      </c>
      <c r="F234" t="inlineStr">
        <is>
          <t>VÄSTRA GÖTALANDS LÄN</t>
        </is>
      </c>
      <c r="G234" t="inlineStr">
        <is>
          <t>TÖREBODA</t>
        </is>
      </c>
      <c r="I234" t="n">
        <v>23.8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46302</v>
      </c>
      <c r="F235" t="inlineStr">
        <is>
          <t>VÄSTRA GÖTALANDS LÄN</t>
        </is>
      </c>
      <c r="G235" t="inlineStr">
        <is>
          <t>TÖREBODA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44868</v>
      </c>
      <c r="E236" s="1" t="n">
        <v>46302</v>
      </c>
      <c r="F236" t="inlineStr">
        <is>
          <t>VÄSTRA GÖTALANDS LÄN</t>
        </is>
      </c>
      <c r="G236" t="inlineStr">
        <is>
          <t>TÖREBODA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46302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45750</v>
      </c>
      <c r="E238" s="1" t="n">
        <v>46302</v>
      </c>
      <c r="F238" t="inlineStr">
        <is>
          <t>VÄSTRA GÖTALANDS LÄN</t>
        </is>
      </c>
      <c r="G238" t="inlineStr">
        <is>
          <t>TÖREBODA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36277-2026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46302</v>
      </c>
      <c r="F239" t="inlineStr">
        <is>
          <t>VÄSTRA GÖTALANDS LÄN</t>
        </is>
      </c>
      <c r="G239" t="inlineStr">
        <is>
          <t>TÖREBODA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46268</v>
      </c>
      <c r="E240" s="1" t="n">
        <v>46302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46302</v>
      </c>
      <c r="F241" t="inlineStr">
        <is>
          <t>VÄSTRA GÖTALANDS LÄN</t>
        </is>
      </c>
      <c r="G241" t="inlineStr">
        <is>
          <t>TÖREBODA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45133</v>
      </c>
      <c r="E242" s="1" t="n">
        <v>46302</v>
      </c>
      <c r="F242" t="inlineStr">
        <is>
          <t>VÄSTRA GÖTALANDS LÄN</t>
        </is>
      </c>
      <c r="G242" t="inlineStr">
        <is>
          <t>TÖREBODA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46268</v>
      </c>
      <c r="E243" s="1" t="n">
        <v>46302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46268</v>
      </c>
      <c r="E244" s="1" t="n">
        <v>46302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46268</v>
      </c>
      <c r="E245" s="1" t="n">
        <v>46302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46268</v>
      </c>
      <c r="E246" s="1" t="n">
        <v>46302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45056</v>
      </c>
      <c r="E247" s="1" t="n">
        <v>46302</v>
      </c>
      <c r="F247" t="inlineStr">
        <is>
          <t>VÄSTRA GÖTALANDS LÄN</t>
        </is>
      </c>
      <c r="G247" t="inlineStr">
        <is>
          <t>TÖREBODA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44987</v>
      </c>
      <c r="E248" s="1" t="n">
        <v>46302</v>
      </c>
      <c r="F248" t="inlineStr">
        <is>
          <t>VÄSTRA GÖTALANDS LÄN</t>
        </is>
      </c>
      <c r="G248" t="inlineStr">
        <is>
          <t>TÖREBODA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44986</v>
      </c>
      <c r="E249" s="1" t="n">
        <v>46302</v>
      </c>
      <c r="F249" t="inlineStr">
        <is>
          <t>VÄSTRA GÖTALANDS LÄN</t>
        </is>
      </c>
      <c r="G249" t="inlineStr">
        <is>
          <t>TÖREBODA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6442-2025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45699</v>
      </c>
      <c r="E250" s="1" t="n">
        <v>46302</v>
      </c>
      <c r="F250" t="inlineStr">
        <is>
          <t>VÄSTRA GÖTALANDS LÄN</t>
        </is>
      </c>
      <c r="G250" t="inlineStr">
        <is>
          <t>TÖREBODA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45002</v>
      </c>
      <c r="E251" s="1" t="n">
        <v>46302</v>
      </c>
      <c r="F251" t="inlineStr">
        <is>
          <t>VÄSTRA GÖTALANDS LÄN</t>
        </is>
      </c>
      <c r="G251" t="inlineStr">
        <is>
          <t>TÖREBODA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44958</v>
      </c>
      <c r="E252" s="1" t="n">
        <v>46302</v>
      </c>
      <c r="F252" t="inlineStr">
        <is>
          <t>VÄSTRA GÖTALANDS LÄN</t>
        </is>
      </c>
      <c r="G252" t="inlineStr">
        <is>
          <t>TÖREBODA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44923</v>
      </c>
      <c r="E253" s="1" t="n">
        <v>46302</v>
      </c>
      <c r="F253" t="inlineStr">
        <is>
          <t>VÄSTRA GÖTALANDS LÄN</t>
        </is>
      </c>
      <c r="G253" t="inlineStr">
        <is>
          <t>TÖREBODA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44923</v>
      </c>
      <c r="E254" s="1" t="n">
        <v>46302</v>
      </c>
      <c r="F254" t="inlineStr">
        <is>
          <t>VÄSTRA GÖTALANDS LÄN</t>
        </is>
      </c>
      <c r="G254" t="inlineStr">
        <is>
          <t>TÖREBODA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45556</v>
      </c>
      <c r="E255" s="1" t="n">
        <v>46302</v>
      </c>
      <c r="F255" t="inlineStr">
        <is>
          <t>VÄSTRA GÖTALANDS LÄN</t>
        </is>
      </c>
      <c r="G255" t="inlineStr">
        <is>
          <t>TÖREBODA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46275</v>
      </c>
      <c r="E256" s="1" t="n">
        <v>46302</v>
      </c>
      <c r="F256" t="inlineStr">
        <is>
          <t>VÄSTRA GÖTALANDS LÄN</t>
        </is>
      </c>
      <c r="G256" t="inlineStr">
        <is>
          <t>TÖREBODA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46302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46231</v>
      </c>
      <c r="E258" s="1" t="n">
        <v>46302</v>
      </c>
      <c r="F258" t="inlineStr">
        <is>
          <t>VÄSTRA GÖTALANDS LÄN</t>
        </is>
      </c>
      <c r="G258" t="inlineStr">
        <is>
          <t>TÖREBODA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46302</v>
      </c>
      <c r="F259" t="inlineStr">
        <is>
          <t>VÄSTRA GÖTALANDS LÄN</t>
        </is>
      </c>
      <c r="G259" t="inlineStr">
        <is>
          <t>TÖREBODA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46302</v>
      </c>
      <c r="F260" t="inlineStr">
        <is>
          <t>VÄSTRA GÖTALANDS LÄN</t>
        </is>
      </c>
      <c r="G260" t="inlineStr">
        <is>
          <t>TÖREBODA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46268</v>
      </c>
      <c r="E261" s="1" t="n">
        <v>46302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46302</v>
      </c>
      <c r="F262" t="inlineStr">
        <is>
          <t>VÄSTRA GÖTALANDS LÄN</t>
        </is>
      </c>
      <c r="G262" t="inlineStr">
        <is>
          <t>TÖREBODA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46302</v>
      </c>
      <c r="F263" t="inlineStr">
        <is>
          <t>VÄSTRA GÖTALANDS LÄN</t>
        </is>
      </c>
      <c r="G263" t="inlineStr">
        <is>
          <t>TÖREBODA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46302</v>
      </c>
      <c r="F264" t="inlineStr">
        <is>
          <t>VÄSTRA GÖTALANDS LÄN</t>
        </is>
      </c>
      <c r="G264" t="inlineStr">
        <is>
          <t>TÖREBODA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46282</v>
      </c>
      <c r="E265" s="1" t="n">
        <v>46302</v>
      </c>
      <c r="F265" t="inlineStr">
        <is>
          <t>VÄSTRA GÖTALANDS LÄN</t>
        </is>
      </c>
      <c r="G265" t="inlineStr">
        <is>
          <t>TÖREBODA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46282</v>
      </c>
      <c r="E266" s="1" t="n">
        <v>46302</v>
      </c>
      <c r="F266" t="inlineStr">
        <is>
          <t>VÄSTRA GÖTALANDS LÄN</t>
        </is>
      </c>
      <c r="G266" t="inlineStr">
        <is>
          <t>TÖREBODA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46302</v>
      </c>
      <c r="F267" t="inlineStr">
        <is>
          <t>VÄSTRA GÖTALANDS LÄN</t>
        </is>
      </c>
      <c r="G267" t="inlineStr">
        <is>
          <t>TÖREBODA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39282-2026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46288</v>
      </c>
      <c r="E268" s="1" t="n">
        <v>46302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39473-2026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46288</v>
      </c>
      <c r="E269" s="1" t="n">
        <v>46302</v>
      </c>
      <c r="F269" t="inlineStr">
        <is>
          <t>VÄSTRA GÖTALANDS LÄN</t>
        </is>
      </c>
      <c r="G269" t="inlineStr">
        <is>
          <t>TÖREBODA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46288</v>
      </c>
      <c r="E270" s="1" t="n">
        <v>46302</v>
      </c>
      <c r="F270" t="inlineStr">
        <is>
          <t>VÄSTRA GÖTALANDS LÄN</t>
        </is>
      </c>
      <c r="G270" t="inlineStr">
        <is>
          <t>TÖREBODA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46302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46302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45553</v>
      </c>
      <c r="E273" s="1" t="n">
        <v>46302</v>
      </c>
      <c r="F273" t="inlineStr">
        <is>
          <t>VÄSTRA GÖTALANDS LÄN</t>
        </is>
      </c>
      <c r="G273" t="inlineStr">
        <is>
          <t>TÖREBODA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46302</v>
      </c>
      <c r="F274" t="inlineStr">
        <is>
          <t>VÄSTRA GÖTALANDS LÄN</t>
        </is>
      </c>
      <c r="G274" t="inlineStr">
        <is>
          <t>TÖREBODA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45231</v>
      </c>
      <c r="E275" s="1" t="n">
        <v>46302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46302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45552</v>
      </c>
      <c r="E277" s="1" t="n">
        <v>46302</v>
      </c>
      <c r="F277" t="inlineStr">
        <is>
          <t>VÄSTRA GÖTALANDS LÄN</t>
        </is>
      </c>
      <c r="G277" t="inlineStr">
        <is>
          <t>TÖREBODA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45425</v>
      </c>
      <c r="E278" s="1" t="n">
        <v>46302</v>
      </c>
      <c r="F278" t="inlineStr">
        <is>
          <t>VÄSTRA GÖTALANDS LÄN</t>
        </is>
      </c>
      <c r="G278" t="inlineStr">
        <is>
          <t>TÖREBODA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46302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Övriga Aktiebolag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46251</v>
      </c>
      <c r="E280" s="1" t="n">
        <v>46302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58755-2022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44903</v>
      </c>
      <c r="E281" s="1" t="n">
        <v>46302</v>
      </c>
      <c r="F281" t="inlineStr">
        <is>
          <t>VÄSTRA GÖTALANDS LÄN</t>
        </is>
      </c>
      <c r="G281" t="inlineStr">
        <is>
          <t>TÖREBODA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46251</v>
      </c>
      <c r="E282" s="1" t="n">
        <v>46302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45448</v>
      </c>
      <c r="E283" s="1" t="n">
        <v>46302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46302</v>
      </c>
      <c r="F284" t="inlineStr">
        <is>
          <t>VÄSTRA GÖTALANDS LÄN</t>
        </is>
      </c>
      <c r="G284" t="inlineStr">
        <is>
          <t>TÖREBODA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44782</v>
      </c>
      <c r="E285" s="1" t="n">
        <v>46302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Övriga statliga verk och myndigheter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57670-2023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46302</v>
      </c>
      <c r="F286" t="inlineStr">
        <is>
          <t>VÄSTRA GÖTALANDS LÄN</t>
        </is>
      </c>
      <c r="G286" t="inlineStr">
        <is>
          <t>TÖREBODA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46302</v>
      </c>
      <c r="F287" t="inlineStr">
        <is>
          <t>VÄSTRA GÖTALANDS LÄN</t>
        </is>
      </c>
      <c r="G287" t="inlineStr">
        <is>
          <t>TÖREBODA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45324</v>
      </c>
      <c r="E288" s="1" t="n">
        <v>46302</v>
      </c>
      <c r="F288" t="inlineStr">
        <is>
          <t>VÄSTRA GÖTALANDS LÄN</t>
        </is>
      </c>
      <c r="G288" t="inlineStr">
        <is>
          <t>TÖREBODA</t>
        </is>
      </c>
      <c r="I288" t="n">
        <v>28.9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57225-2021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44483</v>
      </c>
      <c r="E289" s="1" t="n">
        <v>46302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45531</v>
      </c>
      <c r="E290" s="1" t="n">
        <v>46302</v>
      </c>
      <c r="F290" t="inlineStr">
        <is>
          <t>VÄSTRA GÖTALANDS LÄN</t>
        </is>
      </c>
      <c r="G290" t="inlineStr">
        <is>
          <t>TÖREBODA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35489-2024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45531</v>
      </c>
      <c r="E291" s="1" t="n">
        <v>46302</v>
      </c>
      <c r="F291" t="inlineStr">
        <is>
          <t>VÄSTRA GÖTALANDS LÄN</t>
        </is>
      </c>
      <c r="G291" t="inlineStr">
        <is>
          <t>TÖREBODA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41627-2022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44827</v>
      </c>
      <c r="E292" s="1" t="n">
        <v>46302</v>
      </c>
      <c r="F292" t="inlineStr">
        <is>
          <t>VÄSTRA GÖTALANDS LÄN</t>
        </is>
      </c>
      <c r="G292" t="inlineStr">
        <is>
          <t>TÖREBODA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41632-2022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44827</v>
      </c>
      <c r="E293" s="1" t="n">
        <v>46302</v>
      </c>
      <c r="F293" t="inlineStr">
        <is>
          <t>VÄSTRA GÖTALANDS LÄN</t>
        </is>
      </c>
      <c r="G293" t="inlineStr">
        <is>
          <t>TÖREBODA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46302</v>
      </c>
      <c r="F294" t="inlineStr">
        <is>
          <t>VÄSTRA GÖTALANDS LÄN</t>
        </is>
      </c>
      <c r="G294" t="inlineStr">
        <is>
          <t>TÖREBODA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62781-2023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45268</v>
      </c>
      <c r="E295" s="1" t="n">
        <v>46302</v>
      </c>
      <c r="F295" t="inlineStr">
        <is>
          <t>VÄSTRA GÖTALANDS LÄN</t>
        </is>
      </c>
      <c r="G295" t="inlineStr">
        <is>
          <t>TÖREBODA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45328</v>
      </c>
      <c r="E296" s="1" t="n">
        <v>46302</v>
      </c>
      <c r="F296" t="inlineStr">
        <is>
          <t>VÄSTRA GÖTALANDS LÄN</t>
        </is>
      </c>
      <c r="G296" t="inlineStr">
        <is>
          <t>TÖREBODA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46302</v>
      </c>
      <c r="F297" t="inlineStr">
        <is>
          <t>VÄSTRA GÖTALANDS LÄN</t>
        </is>
      </c>
      <c r="G297" t="inlineStr">
        <is>
          <t>TÖREBODA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46302</v>
      </c>
      <c r="F298" t="inlineStr">
        <is>
          <t>VÄSTRA GÖTALANDS LÄN</t>
        </is>
      </c>
      <c r="G298" t="inlineStr">
        <is>
          <t>TÖREBODA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44951</v>
      </c>
      <c r="E299" s="1" t="n">
        <v>46302</v>
      </c>
      <c r="F299" t="inlineStr">
        <is>
          <t>VÄSTRA GÖTALANDS LÄN</t>
        </is>
      </c>
      <c r="G299" t="inlineStr">
        <is>
          <t>TÖREBODA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17497-2025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46302</v>
      </c>
      <c r="F300" t="inlineStr">
        <is>
          <t>VÄSTRA GÖTALANDS LÄN</t>
        </is>
      </c>
      <c r="G300" t="inlineStr">
        <is>
          <t>TÖREBODA</t>
        </is>
      </c>
      <c r="I300" t="n">
        <v>49.4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46302</v>
      </c>
      <c r="F301" t="inlineStr">
        <is>
          <t>VÄSTRA GÖTALANDS LÄN</t>
        </is>
      </c>
      <c r="G301" t="inlineStr">
        <is>
          <t>TÖREBODA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45142</v>
      </c>
      <c r="E302" s="1" t="n">
        <v>46302</v>
      </c>
      <c r="F302" t="inlineStr">
        <is>
          <t>VÄSTRA GÖTALANDS LÄN</t>
        </is>
      </c>
      <c r="G302" t="inlineStr">
        <is>
          <t>TÖREBODA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44937</v>
      </c>
      <c r="E303" s="1" t="n">
        <v>46302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Övriga statliga verk och myndigheter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19874-2022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44697</v>
      </c>
      <c r="E304" s="1" t="n">
        <v>46302</v>
      </c>
      <c r="F304" t="inlineStr">
        <is>
          <t>VÄSTRA GÖTALANDS LÄN</t>
        </is>
      </c>
      <c r="G304" t="inlineStr">
        <is>
          <t>TÖREBODA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28196-2022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44746</v>
      </c>
      <c r="E305" s="1" t="n">
        <v>46302</v>
      </c>
      <c r="F305" t="inlineStr">
        <is>
          <t>VÄSTRA GÖTALANDS LÄN</t>
        </is>
      </c>
      <c r="G305" t="inlineStr">
        <is>
          <t>TÖREBODA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45777</v>
      </c>
      <c r="E306" s="1" t="n">
        <v>46302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45581</v>
      </c>
      <c r="E307" s="1" t="n">
        <v>46302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11730-2025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45727</v>
      </c>
      <c r="E308" s="1" t="n">
        <v>46302</v>
      </c>
      <c r="F308" t="inlineStr">
        <is>
          <t>VÄSTRA GÖTALANDS LÄN</t>
        </is>
      </c>
      <c r="G308" t="inlineStr">
        <is>
          <t>TÖREBODA</t>
        </is>
      </c>
      <c r="I308" t="n">
        <v>11.2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46302</v>
      </c>
      <c r="F309" t="inlineStr">
        <is>
          <t>VÄSTRA GÖTALANDS LÄN</t>
        </is>
      </c>
      <c r="G309" t="inlineStr">
        <is>
          <t>TÖREBODA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12328-2025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46302</v>
      </c>
      <c r="F310" t="inlineStr">
        <is>
          <t>VÄSTRA GÖTALANDS LÄN</t>
        </is>
      </c>
      <c r="G310" t="inlineStr">
        <is>
          <t>TÖREBODA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45493</v>
      </c>
      <c r="E311" s="1" t="n">
        <v>46302</v>
      </c>
      <c r="F311" t="inlineStr">
        <is>
          <t>VÄSTRA GÖTALANDS LÄN</t>
        </is>
      </c>
      <c r="G311" t="inlineStr">
        <is>
          <t>TÖREBODA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14505-2024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45394</v>
      </c>
      <c r="E312" s="1" t="n">
        <v>46302</v>
      </c>
      <c r="F312" t="inlineStr">
        <is>
          <t>VÄSTRA GÖTALANDS LÄN</t>
        </is>
      </c>
      <c r="G312" t="inlineStr">
        <is>
          <t>TÖREBODA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45439</v>
      </c>
      <c r="E313" s="1" t="n">
        <v>46302</v>
      </c>
      <c r="F313" t="inlineStr">
        <is>
          <t>VÄSTRA GÖTALANDS LÄN</t>
        </is>
      </c>
      <c r="G313" t="inlineStr">
        <is>
          <t>TÖREBODA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46302</v>
      </c>
      <c r="F314" t="inlineStr">
        <is>
          <t>VÄSTRA GÖTALANDS LÄN</t>
        </is>
      </c>
      <c r="G314" t="inlineStr">
        <is>
          <t>TÖREBODA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45631</v>
      </c>
      <c r="E315" s="1" t="n">
        <v>46302</v>
      </c>
      <c r="F315" t="inlineStr">
        <is>
          <t>VÄSTRA GÖTALANDS LÄN</t>
        </is>
      </c>
      <c r="G315" t="inlineStr">
        <is>
          <t>TÖREBODA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45569</v>
      </c>
      <c r="E316" s="1" t="n">
        <v>46302</v>
      </c>
      <c r="F316" t="inlineStr">
        <is>
          <t>VÄSTRA GÖTALANDS LÄN</t>
        </is>
      </c>
      <c r="G316" t="inlineStr">
        <is>
          <t>TÖREBODA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46302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Kyrkan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46302</v>
      </c>
      <c r="F318" t="inlineStr">
        <is>
          <t>VÄSTRA GÖTALANDS LÄN</t>
        </is>
      </c>
      <c r="G318" t="inlineStr">
        <is>
          <t>TÖREBODA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46302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46302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46302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46302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2026-10-07T02:08:17Z</dcterms:created>
  <dcterms:modified xmlns:dcterms="http://purl.org/dc/terms/" xmlns:xsi="http://www.w3.org/2001/XMLSchema-instance" xsi:type="dcterms:W3CDTF">2026-10-07T02:08:17Z</dcterms:modified>
</cp:coreProperties>
</file>