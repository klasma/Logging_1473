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45754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45754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45754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45754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HYPERLINK("https://klasma.github.io/Logging_141473/artfynd/A 11692-2025 artfynd.xlsx", "A 11692-2025")</f>
        <v/>
      </c>
      <c r="T9">
        <f>HYPERLINK("https://klasma.github.io/Logging_141473/kartor/A 11692-2025 karta.png", "A 11692-2025")</f>
        <v/>
      </c>
      <c r="V9">
        <f>HYPERLINK("https://klasma.github.io/Logging_141473/klagomål/A 11692-2025 FSC-klagomål.docx", "A 11692-2025")</f>
        <v/>
      </c>
      <c r="W9">
        <f>HYPERLINK("https://klasma.github.io/Logging_141473/klagomålsmail/A 11692-2025 FSC-klagomål mail.docx", "A 11692-2025")</f>
        <v/>
      </c>
      <c r="X9">
        <f>HYPERLINK("https://klasma.github.io/Logging_141473/tillsyn/A 11692-2025 tillsynsbegäran.docx", "A 11692-2025")</f>
        <v/>
      </c>
      <c r="Y9">
        <f>HYPERLINK("https://klasma.github.io/Logging_141473/tillsynsmail/A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45754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45754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45754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45754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45754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45754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45754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45754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45754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45754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45754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HYPERLINK("https://klasma.github.io/Logging_141473/artfynd/A 12168-2025 artfynd.xlsx", "A 12168-2025")</f>
        <v/>
      </c>
      <c r="T20">
        <f>HYPERLINK("https://klasma.github.io/Logging_141473/kartor/A 12168-2025 karta.png", "A 12168-2025")</f>
        <v/>
      </c>
      <c r="V20">
        <f>HYPERLINK("https://klasma.github.io/Logging_141473/klagomål/A 12168-2025 FSC-klagomål.docx", "A 12168-2025")</f>
        <v/>
      </c>
      <c r="W20">
        <f>HYPERLINK("https://klasma.github.io/Logging_141473/klagomålsmail/A 12168-2025 FSC-klagomål mail.docx", "A 12168-2025")</f>
        <v/>
      </c>
      <c r="X20">
        <f>HYPERLINK("https://klasma.github.io/Logging_141473/tillsyn/A 12168-2025 tillsynsbegäran.docx", "A 12168-2025")</f>
        <v/>
      </c>
      <c r="Y20">
        <f>HYPERLINK("https://klasma.github.io/Logging_141473/tillsynsmail/A 12168-2025 tillsynsbegäran mail.docx", "A 12168-2025")</f>
        <v/>
      </c>
      <c r="Z20">
        <f>HYPERLINK("https://klasma.github.io/Logging_141473/fåglar/A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45754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HYPERLINK("https://klasma.github.io/Logging_141473/artfynd/A 14755-2025 artfynd.xlsx", "A 14755-2025")</f>
        <v/>
      </c>
      <c r="T21">
        <f>HYPERLINK("https://klasma.github.io/Logging_141473/kartor/A 14755-2025 karta.png", "A 14755-2025")</f>
        <v/>
      </c>
      <c r="V21">
        <f>HYPERLINK("https://klasma.github.io/Logging_141473/klagomål/A 14755-2025 FSC-klagomål.docx", "A 14755-2025")</f>
        <v/>
      </c>
      <c r="W21">
        <f>HYPERLINK("https://klasma.github.io/Logging_141473/klagomålsmail/A 14755-2025 FSC-klagomål mail.docx", "A 14755-2025")</f>
        <v/>
      </c>
      <c r="X21">
        <f>HYPERLINK("https://klasma.github.io/Logging_141473/tillsyn/A 14755-2025 tillsynsbegäran.docx", "A 14755-2025")</f>
        <v/>
      </c>
      <c r="Y21">
        <f>HYPERLINK("https://klasma.github.io/Logging_141473/tillsynsmail/A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45754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45754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45754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45754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45754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45754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45754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45754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45754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45754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45754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45754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45754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45754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45754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45754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45754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45754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45754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45754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45754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45754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45754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45754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45754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45754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45754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45754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45754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45754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45754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45754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45754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45754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45754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45754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45754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45754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45754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45754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45754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45754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45754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45754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45754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45754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45754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45754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45754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45754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45754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45754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45754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45754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45754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45754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45754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45754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45754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45754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45754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45754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45754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45754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45754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45754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45754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45754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45754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45754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45754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45754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45754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45754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45754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45754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45754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45754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45754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45754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45754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45754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45754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45754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45754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45754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45754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45754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45754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45754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45754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45754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45754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45754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45754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45754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45754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45754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45754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45754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45754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45754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45754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45754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45754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45754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45754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45754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45754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45754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45754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45754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45754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45754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45754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45754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45754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45754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45754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45754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45754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45754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45754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45754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45754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45754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45754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45754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45754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45754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45754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45754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45754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45754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45754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45754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45754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45754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45754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45754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45754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45754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45754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45754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45754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45754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45754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45754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45754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45754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45754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45754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45754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45754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45754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45754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45754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45754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45754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45754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45754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45754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45754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45754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45754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45754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45754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45754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45754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45754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45754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45754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45754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45754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45754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45754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45754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45754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45754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45754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45754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45754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45754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45754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45754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45754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45754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45754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45754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45754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45754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45754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45754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45754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45754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45754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45754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45754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45754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45754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45754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45754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45754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45754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45754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45754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45754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45754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45754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45754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45754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45754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45754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45754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45754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45754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45754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45754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45754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45754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45754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45754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45754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45754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45754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45754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45754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45754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45754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45754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45754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45754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45754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45754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45754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45754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45754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45754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45754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45754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45754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45754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45754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45754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45754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45754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45754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45754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45754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45754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45754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45754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45754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45754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45754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45754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45754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45754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45754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45754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45754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45754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45754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45754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45754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45754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45754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45754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45754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45754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45754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45754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45754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45754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45754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45754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45754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45754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45754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45754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45754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45754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45754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45754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45754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45754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45754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45754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45754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45754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45754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45754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45754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45754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45754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45754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45754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45754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45754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45754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45754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45754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45754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45754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45754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45754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45754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45754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45754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45754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45754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45754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45754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45754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45754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45754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45754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45754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45754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45754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45754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45754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45754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45754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45754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45754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45754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45754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45754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45754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45754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45754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45754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45754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45754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45754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45754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45754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45754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45754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45754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45754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45754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45754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45754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45754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45754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45754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45754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45754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45754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45754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45754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45754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45754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45754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45754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45754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45754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45754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45754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45754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45754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45754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45754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45754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45754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45754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45754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45754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45754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45754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45754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45754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45754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45754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45754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45754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45754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45754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45754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45754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45754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45754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45754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45754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45754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45754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45754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45754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45754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45754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45754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45754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45754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45754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45754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45754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45754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45754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45754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45754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45754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45754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45754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45754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45754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45754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45754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45754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45754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45754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45754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45754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45754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45754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45754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45754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45754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45754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45754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45754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45754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45754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45754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45754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45754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45754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45754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45754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45754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45754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45754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45754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45754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45754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45754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45754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45754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45754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45754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45754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45754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45754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45754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45754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45754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45754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45754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45754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45754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45754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45754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45754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45754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45754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45754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45754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45754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45754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45754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45754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45754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45754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45754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45754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45754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45754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45754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45754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45754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45754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45754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45754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45754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45754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45754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45754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45754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45754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45754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45754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45754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45754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45754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45754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45754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45754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45754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45754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45754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45754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45754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45754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45754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45754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45754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45754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45754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45754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45754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45754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45754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45754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45754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45754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45754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45754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45754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45754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45754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45754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45754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45754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45754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45754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45754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45754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45754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45754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45754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45754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45754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45754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45754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45754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45754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45754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45754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45754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45754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45754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45754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45754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45754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45754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45754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45754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45754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45754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45754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45754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45754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45754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45754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45754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45754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45754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45754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45754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45754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45754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45754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45754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45754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45754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45754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45754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45754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45754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45754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45754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45754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45754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45754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45754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45754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45754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45754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45754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45754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45754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45754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45754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45754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45754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45754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45754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45754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45754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45754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45754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45754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45754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45754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45754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10444-2025</t>
        </is>
      </c>
      <c r="B608" s="1" t="n">
        <v>45720</v>
      </c>
      <c r="C608" s="1" t="n">
        <v>45754</v>
      </c>
      <c r="D608" t="inlineStr">
        <is>
          <t>VÄSTRA GÖTALANDS LÄN</t>
        </is>
      </c>
      <c r="E608" t="inlineStr">
        <is>
          <t>TÖREBODA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45754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10635-2025</t>
        </is>
      </c>
      <c r="B610" s="1" t="n">
        <v>45721</v>
      </c>
      <c r="C610" s="1" t="n">
        <v>45754</v>
      </c>
      <c r="D610" t="inlineStr">
        <is>
          <t>VÄSTRA GÖTALANDS LÄN</t>
        </is>
      </c>
      <c r="E610" t="inlineStr">
        <is>
          <t>TÖREBODA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10827-2025</t>
        </is>
      </c>
      <c r="B611" s="1" t="n">
        <v>45722</v>
      </c>
      <c r="C611" s="1" t="n">
        <v>45754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10829-2025</t>
        </is>
      </c>
      <c r="B612" s="1" t="n">
        <v>45722</v>
      </c>
      <c r="C612" s="1" t="n">
        <v>45754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10837-2025</t>
        </is>
      </c>
      <c r="B613" s="1" t="n">
        <v>45722</v>
      </c>
      <c r="C613" s="1" t="n">
        <v>45754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11730-2025</t>
        </is>
      </c>
      <c r="B614" s="1" t="n">
        <v>45727</v>
      </c>
      <c r="C614" s="1" t="n">
        <v>45754</v>
      </c>
      <c r="D614" t="inlineStr">
        <is>
          <t>VÄSTRA GÖTALANDS LÄN</t>
        </is>
      </c>
      <c r="E614" t="inlineStr">
        <is>
          <t>TÖREBODA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12207-2025</t>
        </is>
      </c>
      <c r="B615" s="1" t="n">
        <v>45729</v>
      </c>
      <c r="C615" s="1" t="n">
        <v>45754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Övriga statliga verk och myndigheter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12328-2025</t>
        </is>
      </c>
      <c r="B616" s="1" t="n">
        <v>45730</v>
      </c>
      <c r="C616" s="1" t="n">
        <v>45754</v>
      </c>
      <c r="D616" t="inlineStr">
        <is>
          <t>VÄSTRA GÖTALANDS LÄN</t>
        </is>
      </c>
      <c r="E616" t="inlineStr">
        <is>
          <t>TÖREBODA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12329-2025</t>
        </is>
      </c>
      <c r="B617" s="1" t="n">
        <v>45730</v>
      </c>
      <c r="C617" s="1" t="n">
        <v>45754</v>
      </c>
      <c r="D617" t="inlineStr">
        <is>
          <t>VÄSTRA GÖTALANDS LÄN</t>
        </is>
      </c>
      <c r="E617" t="inlineStr">
        <is>
          <t>TÖREBODA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13823-2025</t>
        </is>
      </c>
      <c r="B618" s="1" t="n">
        <v>45737</v>
      </c>
      <c r="C618" s="1" t="n">
        <v>45754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13831-2025</t>
        </is>
      </c>
      <c r="B619" s="1" t="n">
        <v>45737</v>
      </c>
      <c r="C619" s="1" t="n">
        <v>45754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13824-2025</t>
        </is>
      </c>
      <c r="B620" s="1" t="n">
        <v>45737</v>
      </c>
      <c r="C620" s="1" t="n">
        <v>45754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13833-2025</t>
        </is>
      </c>
      <c r="B621" s="1" t="n">
        <v>45737</v>
      </c>
      <c r="C621" s="1" t="n">
        <v>45754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13827-2025</t>
        </is>
      </c>
      <c r="B622" s="1" t="n">
        <v>45737</v>
      </c>
      <c r="C622" s="1" t="n">
        <v>45754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14550-2025</t>
        </is>
      </c>
      <c r="B623" s="1" t="n">
        <v>45741</v>
      </c>
      <c r="C623" s="1" t="n">
        <v>45754</v>
      </c>
      <c r="D623" t="inlineStr">
        <is>
          <t>VÄSTRA GÖTALANDS LÄN</t>
        </is>
      </c>
      <c r="E623" t="inlineStr">
        <is>
          <t>TÖREBODA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14722-2025</t>
        </is>
      </c>
      <c r="B624" s="1" t="n">
        <v>45742</v>
      </c>
      <c r="C624" s="1" t="n">
        <v>45754</v>
      </c>
      <c r="D624" t="inlineStr">
        <is>
          <t>VÄSTRA GÖTALANDS LÄN</t>
        </is>
      </c>
      <c r="E624" t="inlineStr">
        <is>
          <t>TÖREBODA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15438-2025</t>
        </is>
      </c>
      <c r="B625" s="1" t="n">
        <v>45747</v>
      </c>
      <c r="C625" s="1" t="n">
        <v>45754</v>
      </c>
      <c r="D625" t="inlineStr">
        <is>
          <t>VÄSTRA GÖTALANDS LÄN</t>
        </is>
      </c>
      <c r="E625" t="inlineStr">
        <is>
          <t>TÖREBODA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16267-2025</t>
        </is>
      </c>
      <c r="B626" s="1" t="n">
        <v>45750</v>
      </c>
      <c r="C626" s="1" t="n">
        <v>45754</v>
      </c>
      <c r="D626" t="inlineStr">
        <is>
          <t>VÄSTRA GÖTALANDS LÄN</t>
        </is>
      </c>
      <c r="E626" t="inlineStr">
        <is>
          <t>TÖREBODA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45754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16266-2025</t>
        </is>
      </c>
      <c r="B628" s="1" t="n">
        <v>45750</v>
      </c>
      <c r="C628" s="1" t="n">
        <v>45754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2025-04-07T16:37:58Z</dcterms:created>
  <dcterms:modified xmlns:dcterms="http://purl.org/dc/terms/" xmlns:xsi="http://www.w3.org/2001/XMLSchema-instance" xsi:type="dcterms:W3CDTF">2025-04-07T16:37:58Z</dcterms:modified>
</cp:coreProperties>
</file>