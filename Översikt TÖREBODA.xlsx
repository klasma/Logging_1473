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45259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52013-2023</t>
        </is>
      </c>
      <c r="B3" s="1" t="n">
        <v>45223</v>
      </c>
      <c r="C3" s="1" t="n">
        <v>45259</v>
      </c>
      <c r="D3" t="inlineStr">
        <is>
          <t>VÄSTRA GÖTALANDS LÄN</t>
        </is>
      </c>
      <c r="E3" t="inlineStr">
        <is>
          <t>TÖREBODA</t>
        </is>
      </c>
      <c r="G3" t="n">
        <v>15.7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Kandelabersvamp
Fjällig taggsvamp s.str.
Trådticka</t>
        </is>
      </c>
      <c r="S3">
        <f>HYPERLINK("https://klasma.github.io/Logging_1473/artfynd/A 52013-2023 artfynd.xlsx", "A 52013-2023")</f>
        <v/>
      </c>
      <c r="T3">
        <f>HYPERLINK("https://klasma.github.io/Logging_1473/kartor/A 52013-2023 karta.png", "A 52013-2023")</f>
        <v/>
      </c>
      <c r="V3">
        <f>HYPERLINK("https://klasma.github.io/Logging_1473/klagomål/A 52013-2023 FSC-klagomål.docx", "A 52013-2023")</f>
        <v/>
      </c>
      <c r="W3">
        <f>HYPERLINK("https://klasma.github.io/Logging_1473/klagomålsmail/A 52013-2023 FSC-klagomål mail.docx", "A 52013-2023")</f>
        <v/>
      </c>
      <c r="X3">
        <f>HYPERLINK("https://klasma.github.io/Logging_1473/tillsyn/A 52013-2023 tillsynsbegäran.docx", "A 52013-2023")</f>
        <v/>
      </c>
      <c r="Y3">
        <f>HYPERLINK("https://klasma.github.io/Logging_1473/tillsynsmail/A 52013-2023 tillsynsbegäran mail.docx", "A 52013-2023")</f>
        <v/>
      </c>
    </row>
    <row r="4" ht="15" customHeight="1">
      <c r="A4" t="inlineStr">
        <is>
          <t>A 7823-2022</t>
        </is>
      </c>
      <c r="B4" s="1" t="n">
        <v>44608</v>
      </c>
      <c r="C4" s="1" t="n">
        <v>45259</v>
      </c>
      <c r="D4" t="inlineStr">
        <is>
          <t>VÄSTRA GÖTALANDS LÄN</t>
        </is>
      </c>
      <c r="E4" t="inlineStr">
        <is>
          <t>TÖREBODA</t>
        </is>
      </c>
      <c r="G4" t="n">
        <v>21.5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HYPERLINK("https://klasma.github.io/Logging_1473/artfynd/A 7823-2022 artfynd.xlsx", "A 7823-2022")</f>
        <v/>
      </c>
      <c r="T4">
        <f>HYPERLINK("https://klasma.github.io/Logging_1473/kartor/A 7823-2022 karta.png", "A 7823-2022")</f>
        <v/>
      </c>
      <c r="V4">
        <f>HYPERLINK("https://klasma.github.io/Logging_1473/klagomål/A 7823-2022 FSC-klagomål.docx", "A 7823-2022")</f>
        <v/>
      </c>
      <c r="W4">
        <f>HYPERLINK("https://klasma.github.io/Logging_1473/klagomålsmail/A 7823-2022 FSC-klagomål mail.docx", "A 7823-2022")</f>
        <v/>
      </c>
      <c r="X4">
        <f>HYPERLINK("https://klasma.github.io/Logging_1473/tillsyn/A 7823-2022 tillsynsbegäran.docx", "A 7823-2022")</f>
        <v/>
      </c>
      <c r="Y4">
        <f>HYPERLINK("https://klasma.github.io/Logging_1473/tillsynsmail/A 7823-2022 tillsynsbegäran mail.docx", "A 7823-2022")</f>
        <v/>
      </c>
    </row>
    <row r="5" ht="15" customHeight="1">
      <c r="A5" t="inlineStr">
        <is>
          <t>A 70948-2018</t>
        </is>
      </c>
      <c r="B5" s="1" t="n">
        <v>43452</v>
      </c>
      <c r="C5" s="1" t="n">
        <v>45259</v>
      </c>
      <c r="D5" t="inlineStr">
        <is>
          <t>VÄSTRA GÖTALANDS LÄN</t>
        </is>
      </c>
      <c r="E5" t="inlineStr">
        <is>
          <t>TÖREBODA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HYPERLINK("https://klasma.github.io/Logging_1473/artfynd/A 70948-2018 artfynd.xlsx", "A 70948-2018")</f>
        <v/>
      </c>
      <c r="T5">
        <f>HYPERLINK("https://klasma.github.io/Logging_1473/kartor/A 70948-2018 karta.png", "A 70948-2018")</f>
        <v/>
      </c>
      <c r="V5">
        <f>HYPERLINK("https://klasma.github.io/Logging_1473/klagomål/A 70948-2018 FSC-klagomål.docx", "A 70948-2018")</f>
        <v/>
      </c>
      <c r="W5">
        <f>HYPERLINK("https://klasma.github.io/Logging_1473/klagomålsmail/A 70948-2018 FSC-klagomål mail.docx", "A 70948-2018")</f>
        <v/>
      </c>
      <c r="X5">
        <f>HYPERLINK("https://klasma.github.io/Logging_1473/tillsyn/A 70948-2018 tillsynsbegäran.docx", "A 70948-2018")</f>
        <v/>
      </c>
      <c r="Y5">
        <f>HYPERLINK("https://klasma.github.io/Logging_1473/tillsynsmail/A 70948-2018 tillsynsbegäran mail.docx", "A 70948-2018")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45259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45259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45259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45259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45259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45259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45259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45259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34801-2018</t>
        </is>
      </c>
      <c r="B14" s="1" t="n">
        <v>43321</v>
      </c>
      <c r="C14" s="1" t="n">
        <v>45259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42123-2018</t>
        </is>
      </c>
      <c r="B15" s="1" t="n">
        <v>43353</v>
      </c>
      <c r="C15" s="1" t="n">
        <v>45259</v>
      </c>
      <c r="D15" t="inlineStr">
        <is>
          <t>VÄSTRA GÖTALANDS LÄN</t>
        </is>
      </c>
      <c r="E15" t="inlineStr">
        <is>
          <t>TÖREBODA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44620-2018</t>
        </is>
      </c>
      <c r="B16" s="1" t="n">
        <v>43356</v>
      </c>
      <c r="C16" s="1" t="n">
        <v>45259</v>
      </c>
      <c r="D16" t="inlineStr">
        <is>
          <t>VÄSTRA GÖTALANDS LÄN</t>
        </is>
      </c>
      <c r="E16" t="inlineStr">
        <is>
          <t>TÖREBODA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55905-2018</t>
        </is>
      </c>
      <c r="B17" s="1" t="n">
        <v>43395</v>
      </c>
      <c r="C17" s="1" t="n">
        <v>45259</v>
      </c>
      <c r="D17" t="inlineStr">
        <is>
          <t>VÄSTRA GÖTALANDS LÄN</t>
        </is>
      </c>
      <c r="E17" t="inlineStr">
        <is>
          <t>TÖREBODA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55917-2018</t>
        </is>
      </c>
      <c r="B18" s="1" t="n">
        <v>43395</v>
      </c>
      <c r="C18" s="1" t="n">
        <v>45259</v>
      </c>
      <c r="D18" t="inlineStr">
        <is>
          <t>VÄSTRA GÖTALANDS LÄN</t>
        </is>
      </c>
      <c r="E18" t="inlineStr">
        <is>
          <t>TÖREBODA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55936-2018</t>
        </is>
      </c>
      <c r="B19" s="1" t="n">
        <v>43395</v>
      </c>
      <c r="C19" s="1" t="n">
        <v>45259</v>
      </c>
      <c r="D19" t="inlineStr">
        <is>
          <t>VÄSTRA GÖTALANDS LÄN</t>
        </is>
      </c>
      <c r="E19" t="inlineStr">
        <is>
          <t>TÖREBODA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57888-2018</t>
        </is>
      </c>
      <c r="B20" s="1" t="n">
        <v>43398</v>
      </c>
      <c r="C20" s="1" t="n">
        <v>45259</v>
      </c>
      <c r="D20" t="inlineStr">
        <is>
          <t>VÄSTRA GÖTALANDS LÄN</t>
        </is>
      </c>
      <c r="E20" t="inlineStr">
        <is>
          <t>TÖREBODA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63147-2018</t>
        </is>
      </c>
      <c r="B21" s="1" t="n">
        <v>43418</v>
      </c>
      <c r="C21" s="1" t="n">
        <v>45259</v>
      </c>
      <c r="D21" t="inlineStr">
        <is>
          <t>VÄSTRA GÖTALANDS LÄN</t>
        </is>
      </c>
      <c r="E21" t="inlineStr">
        <is>
          <t>TÖREBODA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63155-2018</t>
        </is>
      </c>
      <c r="B22" s="1" t="n">
        <v>43418</v>
      </c>
      <c r="C22" s="1" t="n">
        <v>45259</v>
      </c>
      <c r="D22" t="inlineStr">
        <is>
          <t>VÄSTRA GÖTALANDS LÄN</t>
        </is>
      </c>
      <c r="E22" t="inlineStr">
        <is>
          <t>TÖREBODA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59829-2018</t>
        </is>
      </c>
      <c r="B23" s="1" t="n">
        <v>43419</v>
      </c>
      <c r="C23" s="1" t="n">
        <v>45259</v>
      </c>
      <c r="D23" t="inlineStr">
        <is>
          <t>VÄSTRA GÖTALANDS LÄN</t>
        </is>
      </c>
      <c r="E23" t="inlineStr">
        <is>
          <t>TÖREBODA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59448-2018</t>
        </is>
      </c>
      <c r="B24" s="1" t="n">
        <v>43419</v>
      </c>
      <c r="C24" s="1" t="n">
        <v>45259</v>
      </c>
      <c r="D24" t="inlineStr">
        <is>
          <t>VÄSTRA GÖTALANDS LÄN</t>
        </is>
      </c>
      <c r="E24" t="inlineStr">
        <is>
          <t>TÖREBODA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59442-2018</t>
        </is>
      </c>
      <c r="B25" s="1" t="n">
        <v>43419</v>
      </c>
      <c r="C25" s="1" t="n">
        <v>45259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59642-2018</t>
        </is>
      </c>
      <c r="B26" s="1" t="n">
        <v>43419</v>
      </c>
      <c r="C26" s="1" t="n">
        <v>45259</v>
      </c>
      <c r="D26" t="inlineStr">
        <is>
          <t>VÄSTRA GÖTALANDS LÄN</t>
        </is>
      </c>
      <c r="E26" t="inlineStr">
        <is>
          <t>TÖREBODA</t>
        </is>
      </c>
      <c r="F26" t="inlineStr">
        <is>
          <t>Övriga statliga verk och myndigheter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59446-2018</t>
        </is>
      </c>
      <c r="B27" s="1" t="n">
        <v>43419</v>
      </c>
      <c r="C27" s="1" t="n">
        <v>45259</v>
      </c>
      <c r="D27" t="inlineStr">
        <is>
          <t>VÄSTRA GÖTALANDS LÄN</t>
        </is>
      </c>
      <c r="E27" t="inlineStr">
        <is>
          <t>TÖREBODA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65637-2018</t>
        </is>
      </c>
      <c r="B28" s="1" t="n">
        <v>43426</v>
      </c>
      <c r="C28" s="1" t="n">
        <v>45259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62867-2018</t>
        </is>
      </c>
      <c r="B29" s="1" t="n">
        <v>43426</v>
      </c>
      <c r="C29" s="1" t="n">
        <v>45259</v>
      </c>
      <c r="D29" t="inlineStr">
        <is>
          <t>VÄSTRA GÖTALANDS LÄN</t>
        </is>
      </c>
      <c r="E29" t="inlineStr">
        <is>
          <t>TÖREBODA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66179-2018</t>
        </is>
      </c>
      <c r="B30" s="1" t="n">
        <v>43434</v>
      </c>
      <c r="C30" s="1" t="n">
        <v>45259</v>
      </c>
      <c r="D30" t="inlineStr">
        <is>
          <t>VÄSTRA GÖTALANDS LÄN</t>
        </is>
      </c>
      <c r="E30" t="inlineStr">
        <is>
          <t>TÖREBODA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68174-2018</t>
        </is>
      </c>
      <c r="B31" s="1" t="n">
        <v>43437</v>
      </c>
      <c r="C31" s="1" t="n">
        <v>45259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66911-2018</t>
        </is>
      </c>
      <c r="B32" s="1" t="n">
        <v>43438</v>
      </c>
      <c r="C32" s="1" t="n">
        <v>45259</v>
      </c>
      <c r="D32" t="inlineStr">
        <is>
          <t>VÄSTRA GÖTALANDS LÄN</t>
        </is>
      </c>
      <c r="E32" t="inlineStr">
        <is>
          <t>TÖREBODA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70104-2018</t>
        </is>
      </c>
      <c r="B33" s="1" t="n">
        <v>43448</v>
      </c>
      <c r="C33" s="1" t="n">
        <v>45259</v>
      </c>
      <c r="D33" t="inlineStr">
        <is>
          <t>VÄSTRA GÖTALANDS LÄN</t>
        </is>
      </c>
      <c r="E33" t="inlineStr">
        <is>
          <t>TÖREBODA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70524-2018</t>
        </is>
      </c>
      <c r="B34" s="1" t="n">
        <v>43451</v>
      </c>
      <c r="C34" s="1" t="n">
        <v>45259</v>
      </c>
      <c r="D34" t="inlineStr">
        <is>
          <t>VÄSTRA GÖTALANDS LÄN</t>
        </is>
      </c>
      <c r="E34" t="inlineStr">
        <is>
          <t>TÖREBODA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70943-2018</t>
        </is>
      </c>
      <c r="B35" s="1" t="n">
        <v>43452</v>
      </c>
      <c r="C35" s="1" t="n">
        <v>45259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72471-2018</t>
        </is>
      </c>
      <c r="B36" s="1" t="n">
        <v>43461</v>
      </c>
      <c r="C36" s="1" t="n">
        <v>45259</v>
      </c>
      <c r="D36" t="inlineStr">
        <is>
          <t>VÄSTRA GÖTALANDS LÄN</t>
        </is>
      </c>
      <c r="E36" t="inlineStr">
        <is>
          <t>TÖREBODA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1698-2019</t>
        </is>
      </c>
      <c r="B37" s="1" t="n">
        <v>43474</v>
      </c>
      <c r="C37" s="1" t="n">
        <v>45259</v>
      </c>
      <c r="D37" t="inlineStr">
        <is>
          <t>VÄSTRA GÖTALANDS LÄN</t>
        </is>
      </c>
      <c r="E37" t="inlineStr">
        <is>
          <t>TÖREBODA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1677-2019</t>
        </is>
      </c>
      <c r="B38" s="1" t="n">
        <v>43474</v>
      </c>
      <c r="C38" s="1" t="n">
        <v>45259</v>
      </c>
      <c r="D38" t="inlineStr">
        <is>
          <t>VÄSTRA GÖTALANDS LÄN</t>
        </is>
      </c>
      <c r="E38" t="inlineStr">
        <is>
          <t>TÖREBODA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2376-2019</t>
        </is>
      </c>
      <c r="B39" s="1" t="n">
        <v>43476</v>
      </c>
      <c r="C39" s="1" t="n">
        <v>45259</v>
      </c>
      <c r="D39" t="inlineStr">
        <is>
          <t>VÄSTRA GÖTALANDS LÄN</t>
        </is>
      </c>
      <c r="E39" t="inlineStr">
        <is>
          <t>TÖREBODA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2564-2019</t>
        </is>
      </c>
      <c r="B40" s="1" t="n">
        <v>43476</v>
      </c>
      <c r="C40" s="1" t="n">
        <v>45259</v>
      </c>
      <c r="D40" t="inlineStr">
        <is>
          <t>VÄSTRA GÖTALANDS LÄN</t>
        </is>
      </c>
      <c r="E40" t="inlineStr">
        <is>
          <t>TÖREBODA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2366-2019</t>
        </is>
      </c>
      <c r="B41" s="1" t="n">
        <v>43476</v>
      </c>
      <c r="C41" s="1" t="n">
        <v>45259</v>
      </c>
      <c r="D41" t="inlineStr">
        <is>
          <t>VÄSTRA GÖTALANDS LÄN</t>
        </is>
      </c>
      <c r="E41" t="inlineStr">
        <is>
          <t>TÖREBODA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2565-2019</t>
        </is>
      </c>
      <c r="B42" s="1" t="n">
        <v>43476</v>
      </c>
      <c r="C42" s="1" t="n">
        <v>45259</v>
      </c>
      <c r="D42" t="inlineStr">
        <is>
          <t>VÄSTRA GÖTALANDS LÄN</t>
        </is>
      </c>
      <c r="E42" t="inlineStr">
        <is>
          <t>TÖREBODA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6204-2019</t>
        </is>
      </c>
      <c r="B43" s="1" t="n">
        <v>43486</v>
      </c>
      <c r="C43" s="1" t="n">
        <v>45259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6201-2019</t>
        </is>
      </c>
      <c r="B44" s="1" t="n">
        <v>43486</v>
      </c>
      <c r="C44" s="1" t="n">
        <v>45259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4917-2019</t>
        </is>
      </c>
      <c r="B45" s="1" t="n">
        <v>43487</v>
      </c>
      <c r="C45" s="1" t="n">
        <v>45259</v>
      </c>
      <c r="D45" t="inlineStr">
        <is>
          <t>VÄSTRA GÖTALANDS LÄN</t>
        </is>
      </c>
      <c r="E45" t="inlineStr">
        <is>
          <t>TÖREBODA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5353-2019</t>
        </is>
      </c>
      <c r="B46" s="1" t="n">
        <v>43488</v>
      </c>
      <c r="C46" s="1" t="n">
        <v>45259</v>
      </c>
      <c r="D46" t="inlineStr">
        <is>
          <t>VÄSTRA GÖTALANDS LÄN</t>
        </is>
      </c>
      <c r="E46" t="inlineStr">
        <is>
          <t>TÖREBODA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6910-2019</t>
        </is>
      </c>
      <c r="B47" s="1" t="n">
        <v>43489</v>
      </c>
      <c r="C47" s="1" t="n">
        <v>45259</v>
      </c>
      <c r="D47" t="inlineStr">
        <is>
          <t>VÄSTRA GÖTALANDS LÄN</t>
        </is>
      </c>
      <c r="E47" t="inlineStr">
        <is>
          <t>TÖREBODA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6326-2019</t>
        </is>
      </c>
      <c r="B48" s="1" t="n">
        <v>43493</v>
      </c>
      <c r="C48" s="1" t="n">
        <v>45259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6327-2019</t>
        </is>
      </c>
      <c r="B49" s="1" t="n">
        <v>43493</v>
      </c>
      <c r="C49" s="1" t="n">
        <v>45259</v>
      </c>
      <c r="D49" t="inlineStr">
        <is>
          <t>VÄSTRA GÖTALANDS LÄN</t>
        </is>
      </c>
      <c r="E49" t="inlineStr">
        <is>
          <t>TÖREBODA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9032-2019</t>
        </is>
      </c>
      <c r="B50" s="1" t="n">
        <v>43504</v>
      </c>
      <c r="C50" s="1" t="n">
        <v>45259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9782-2019</t>
        </is>
      </c>
      <c r="B51" s="1" t="n">
        <v>43509</v>
      </c>
      <c r="C51" s="1" t="n">
        <v>45259</v>
      </c>
      <c r="D51" t="inlineStr">
        <is>
          <t>VÄSTRA GÖTALANDS LÄN</t>
        </is>
      </c>
      <c r="E51" t="inlineStr">
        <is>
          <t>TÖREBODA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10403-2019</t>
        </is>
      </c>
      <c r="B52" s="1" t="n">
        <v>43511</v>
      </c>
      <c r="C52" s="1" t="n">
        <v>45259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11524-2019</t>
        </is>
      </c>
      <c r="B53" s="1" t="n">
        <v>43517</v>
      </c>
      <c r="C53" s="1" t="n">
        <v>45259</v>
      </c>
      <c r="D53" t="inlineStr">
        <is>
          <t>VÄSTRA GÖTALANDS LÄN</t>
        </is>
      </c>
      <c r="E53" t="inlineStr">
        <is>
          <t>TÖREBODA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11523-2019</t>
        </is>
      </c>
      <c r="B54" s="1" t="n">
        <v>43517</v>
      </c>
      <c r="C54" s="1" t="n">
        <v>45259</v>
      </c>
      <c r="D54" t="inlineStr">
        <is>
          <t>VÄSTRA GÖTALANDS LÄN</t>
        </is>
      </c>
      <c r="E54" t="inlineStr">
        <is>
          <t>TÖREBODA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11597-2019</t>
        </is>
      </c>
      <c r="B55" s="1" t="n">
        <v>43517</v>
      </c>
      <c r="C55" s="1" t="n">
        <v>45259</v>
      </c>
      <c r="D55" t="inlineStr">
        <is>
          <t>VÄSTRA GÖTALANDS LÄN</t>
        </is>
      </c>
      <c r="E55" t="inlineStr">
        <is>
          <t>TÖREBODA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12147-2019</t>
        </is>
      </c>
      <c r="B56" s="1" t="n">
        <v>43521</v>
      </c>
      <c r="C56" s="1" t="n">
        <v>45259</v>
      </c>
      <c r="D56" t="inlineStr">
        <is>
          <t>VÄSTRA GÖTALANDS LÄN</t>
        </is>
      </c>
      <c r="E56" t="inlineStr">
        <is>
          <t>TÖREBODA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12309-2019</t>
        </is>
      </c>
      <c r="B57" s="1" t="n">
        <v>43523</v>
      </c>
      <c r="C57" s="1" t="n">
        <v>45259</v>
      </c>
      <c r="D57" t="inlineStr">
        <is>
          <t>VÄSTRA GÖTALANDS LÄN</t>
        </is>
      </c>
      <c r="E57" t="inlineStr">
        <is>
          <t>TÖREBODA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12855-2019</t>
        </is>
      </c>
      <c r="B58" s="1" t="n">
        <v>43525</v>
      </c>
      <c r="C58" s="1" t="n">
        <v>45259</v>
      </c>
      <c r="D58" t="inlineStr">
        <is>
          <t>VÄSTRA GÖTALANDS LÄN</t>
        </is>
      </c>
      <c r="E58" t="inlineStr">
        <is>
          <t>TÖREBODA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14425-2019</t>
        </is>
      </c>
      <c r="B59" s="1" t="n">
        <v>43532</v>
      </c>
      <c r="C59" s="1" t="n">
        <v>45259</v>
      </c>
      <c r="D59" t="inlineStr">
        <is>
          <t>VÄSTRA GÖTALANDS LÄN</t>
        </is>
      </c>
      <c r="E59" t="inlineStr">
        <is>
          <t>TÖREBODA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14589-2019</t>
        </is>
      </c>
      <c r="B60" s="1" t="n">
        <v>43536</v>
      </c>
      <c r="C60" s="1" t="n">
        <v>45259</v>
      </c>
      <c r="D60" t="inlineStr">
        <is>
          <t>VÄSTRA GÖTALANDS LÄN</t>
        </is>
      </c>
      <c r="E60" t="inlineStr">
        <is>
          <t>TÖREBODA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14593-2019</t>
        </is>
      </c>
      <c r="B61" s="1" t="n">
        <v>43536</v>
      </c>
      <c r="C61" s="1" t="n">
        <v>45259</v>
      </c>
      <c r="D61" t="inlineStr">
        <is>
          <t>VÄSTRA GÖTALANDS LÄN</t>
        </is>
      </c>
      <c r="E61" t="inlineStr">
        <is>
          <t>TÖREBODA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14590-2019</t>
        </is>
      </c>
      <c r="B62" s="1" t="n">
        <v>43536</v>
      </c>
      <c r="C62" s="1" t="n">
        <v>45259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15674-2019</t>
        </is>
      </c>
      <c r="B63" s="1" t="n">
        <v>43543</v>
      </c>
      <c r="C63" s="1" t="n">
        <v>45259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19995-2019</t>
        </is>
      </c>
      <c r="B64" s="1" t="n">
        <v>43567</v>
      </c>
      <c r="C64" s="1" t="n">
        <v>45259</v>
      </c>
      <c r="D64" t="inlineStr">
        <is>
          <t>VÄSTRA GÖTALANDS LÄN</t>
        </is>
      </c>
      <c r="E64" t="inlineStr">
        <is>
          <t>TÖREBODA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21359-2019</t>
        </is>
      </c>
      <c r="B65" s="1" t="n">
        <v>43579</v>
      </c>
      <c r="C65" s="1" t="n">
        <v>45259</v>
      </c>
      <c r="D65" t="inlineStr">
        <is>
          <t>VÄSTRA GÖTALANDS LÄN</t>
        </is>
      </c>
      <c r="E65" t="inlineStr">
        <is>
          <t>TÖREBODA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23800-2019</t>
        </is>
      </c>
      <c r="B66" s="1" t="n">
        <v>43595</v>
      </c>
      <c r="C66" s="1" t="n">
        <v>45259</v>
      </c>
      <c r="D66" t="inlineStr">
        <is>
          <t>VÄSTRA GÖTALANDS LÄN</t>
        </is>
      </c>
      <c r="E66" t="inlineStr">
        <is>
          <t>TÖREBODA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25136-2019</t>
        </is>
      </c>
      <c r="B67" s="1" t="n">
        <v>43605</v>
      </c>
      <c r="C67" s="1" t="n">
        <v>45259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25138-2019</t>
        </is>
      </c>
      <c r="B68" s="1" t="n">
        <v>43605</v>
      </c>
      <c r="C68" s="1" t="n">
        <v>45259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27173-2019</t>
        </is>
      </c>
      <c r="B69" s="1" t="n">
        <v>43614</v>
      </c>
      <c r="C69" s="1" t="n">
        <v>45259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27177-2019</t>
        </is>
      </c>
      <c r="B70" s="1" t="n">
        <v>43614</v>
      </c>
      <c r="C70" s="1" t="n">
        <v>45259</v>
      </c>
      <c r="D70" t="inlineStr">
        <is>
          <t>VÄSTRA GÖTALANDS LÄN</t>
        </is>
      </c>
      <c r="E70" t="inlineStr">
        <is>
          <t>TÖREBODA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30683-2019</t>
        </is>
      </c>
      <c r="B71" s="1" t="n">
        <v>43635</v>
      </c>
      <c r="C71" s="1" t="n">
        <v>45259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33138-2019</t>
        </is>
      </c>
      <c r="B72" s="1" t="n">
        <v>43644</v>
      </c>
      <c r="C72" s="1" t="n">
        <v>45259</v>
      </c>
      <c r="D72" t="inlineStr">
        <is>
          <t>VÄSTRA GÖTALANDS LÄN</t>
        </is>
      </c>
      <c r="E72" t="inlineStr">
        <is>
          <t>TÖREBODA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33233-2019</t>
        </is>
      </c>
      <c r="B73" s="1" t="n">
        <v>43650</v>
      </c>
      <c r="C73" s="1" t="n">
        <v>45259</v>
      </c>
      <c r="D73" t="inlineStr">
        <is>
          <t>VÄSTRA GÖTALANDS LÄN</t>
        </is>
      </c>
      <c r="E73" t="inlineStr">
        <is>
          <t>TÖREBODA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33703-2019</t>
        </is>
      </c>
      <c r="B74" s="1" t="n">
        <v>43651</v>
      </c>
      <c r="C74" s="1" t="n">
        <v>45259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33700-2019</t>
        </is>
      </c>
      <c r="B75" s="1" t="n">
        <v>43651</v>
      </c>
      <c r="C75" s="1" t="n">
        <v>45259</v>
      </c>
      <c r="D75" t="inlineStr">
        <is>
          <t>VÄSTRA GÖTALANDS LÄN</t>
        </is>
      </c>
      <c r="E75" t="inlineStr">
        <is>
          <t>TÖREBODA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33706-2019</t>
        </is>
      </c>
      <c r="B76" s="1" t="n">
        <v>43651</v>
      </c>
      <c r="C76" s="1" t="n">
        <v>45259</v>
      </c>
      <c r="D76" t="inlineStr">
        <is>
          <t>VÄSTRA GÖTALANDS LÄN</t>
        </is>
      </c>
      <c r="E76" t="inlineStr">
        <is>
          <t>TÖREBODA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40783-2019</t>
        </is>
      </c>
      <c r="B77" s="1" t="n">
        <v>43697</v>
      </c>
      <c r="C77" s="1" t="n">
        <v>45259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47014-2019</t>
        </is>
      </c>
      <c r="B78" s="1" t="n">
        <v>43720</v>
      </c>
      <c r="C78" s="1" t="n">
        <v>45259</v>
      </c>
      <c r="D78" t="inlineStr">
        <is>
          <t>VÄSTRA GÖTALANDS LÄN</t>
        </is>
      </c>
      <c r="E78" t="inlineStr">
        <is>
          <t>TÖREBODA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49047-2019</t>
        </is>
      </c>
      <c r="B79" s="1" t="n">
        <v>43731</v>
      </c>
      <c r="C79" s="1" t="n">
        <v>45259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53649-2019</t>
        </is>
      </c>
      <c r="B80" s="1" t="n">
        <v>43741</v>
      </c>
      <c r="C80" s="1" t="n">
        <v>45259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52062-2019</t>
        </is>
      </c>
      <c r="B81" s="1" t="n">
        <v>43742</v>
      </c>
      <c r="C81" s="1" t="n">
        <v>45259</v>
      </c>
      <c r="D81" t="inlineStr">
        <is>
          <t>VÄSTRA GÖTALANDS LÄN</t>
        </is>
      </c>
      <c r="E81" t="inlineStr">
        <is>
          <t>TÖREBODA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52064-2019</t>
        </is>
      </c>
      <c r="B82" s="1" t="n">
        <v>43742</v>
      </c>
      <c r="C82" s="1" t="n">
        <v>45259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54230-2019</t>
        </is>
      </c>
      <c r="B83" s="1" t="n">
        <v>43753</v>
      </c>
      <c r="C83" s="1" t="n">
        <v>45259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55285-2019</t>
        </is>
      </c>
      <c r="B84" s="1" t="n">
        <v>43756</v>
      </c>
      <c r="C84" s="1" t="n">
        <v>45259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55306-2019</t>
        </is>
      </c>
      <c r="B85" s="1" t="n">
        <v>43756</v>
      </c>
      <c r="C85" s="1" t="n">
        <v>45259</v>
      </c>
      <c r="D85" t="inlineStr">
        <is>
          <t>VÄSTRA GÖTALANDS LÄN</t>
        </is>
      </c>
      <c r="E85" t="inlineStr">
        <is>
          <t>TÖREBODA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59963-2019</t>
        </is>
      </c>
      <c r="B86" s="1" t="n">
        <v>43775</v>
      </c>
      <c r="C86" s="1" t="n">
        <v>45259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60205-2019</t>
        </is>
      </c>
      <c r="B87" s="1" t="n">
        <v>43776</v>
      </c>
      <c r="C87" s="1" t="n">
        <v>45259</v>
      </c>
      <c r="D87" t="inlineStr">
        <is>
          <t>VÄSTRA GÖTALANDS LÄN</t>
        </is>
      </c>
      <c r="E87" t="inlineStr">
        <is>
          <t>TÖREBODA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60792-2019</t>
        </is>
      </c>
      <c r="B88" s="1" t="n">
        <v>43781</v>
      </c>
      <c r="C88" s="1" t="n">
        <v>45259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60796-2019</t>
        </is>
      </c>
      <c r="B89" s="1" t="n">
        <v>43781</v>
      </c>
      <c r="C89" s="1" t="n">
        <v>45259</v>
      </c>
      <c r="D89" t="inlineStr">
        <is>
          <t>VÄSTRA GÖTALANDS LÄN</t>
        </is>
      </c>
      <c r="E89" t="inlineStr">
        <is>
          <t>TÖREBODA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60908-2019</t>
        </is>
      </c>
      <c r="B90" s="1" t="n">
        <v>43782</v>
      </c>
      <c r="C90" s="1" t="n">
        <v>45259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60909-2019</t>
        </is>
      </c>
      <c r="B91" s="1" t="n">
        <v>43782</v>
      </c>
      <c r="C91" s="1" t="n">
        <v>45259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3273-2020</t>
        </is>
      </c>
      <c r="B92" s="1" t="n">
        <v>43852</v>
      </c>
      <c r="C92" s="1" t="n">
        <v>45259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3269-2020</t>
        </is>
      </c>
      <c r="B93" s="1" t="n">
        <v>43852</v>
      </c>
      <c r="C93" s="1" t="n">
        <v>45259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3591-2020</t>
        </is>
      </c>
      <c r="B94" s="1" t="n">
        <v>43853</v>
      </c>
      <c r="C94" s="1" t="n">
        <v>45259</v>
      </c>
      <c r="D94" t="inlineStr">
        <is>
          <t>VÄSTRA GÖTALANDS LÄN</t>
        </is>
      </c>
      <c r="E94" t="inlineStr">
        <is>
          <t>TÖREBODA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4083-2020</t>
        </is>
      </c>
      <c r="B95" s="1" t="n">
        <v>43856</v>
      </c>
      <c r="C95" s="1" t="n">
        <v>45259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6259-2020</t>
        </is>
      </c>
      <c r="B96" s="1" t="n">
        <v>43866</v>
      </c>
      <c r="C96" s="1" t="n">
        <v>45259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7017-2020</t>
        </is>
      </c>
      <c r="B97" s="1" t="n">
        <v>43868</v>
      </c>
      <c r="C97" s="1" t="n">
        <v>45259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7165-2020</t>
        </is>
      </c>
      <c r="B98" s="1" t="n">
        <v>43870</v>
      </c>
      <c r="C98" s="1" t="n">
        <v>45259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7928-2020</t>
        </is>
      </c>
      <c r="B99" s="1" t="n">
        <v>43873</v>
      </c>
      <c r="C99" s="1" t="n">
        <v>45259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7918-2020</t>
        </is>
      </c>
      <c r="B100" s="1" t="n">
        <v>43873</v>
      </c>
      <c r="C100" s="1" t="n">
        <v>45259</v>
      </c>
      <c r="D100" t="inlineStr">
        <is>
          <t>VÄSTRA GÖTALANDS LÄN</t>
        </is>
      </c>
      <c r="E100" t="inlineStr">
        <is>
          <t>TÖREBODA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9906-2020</t>
        </is>
      </c>
      <c r="B101" s="1" t="n">
        <v>43882</v>
      </c>
      <c r="C101" s="1" t="n">
        <v>45259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9858-2020</t>
        </is>
      </c>
      <c r="B102" s="1" t="n">
        <v>43882</v>
      </c>
      <c r="C102" s="1" t="n">
        <v>45259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10081-2020</t>
        </is>
      </c>
      <c r="B103" s="1" t="n">
        <v>43885</v>
      </c>
      <c r="C103" s="1" t="n">
        <v>45259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10429-2020</t>
        </is>
      </c>
      <c r="B104" s="1" t="n">
        <v>43886</v>
      </c>
      <c r="C104" s="1" t="n">
        <v>45259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11484-2020</t>
        </is>
      </c>
      <c r="B105" s="1" t="n">
        <v>43887</v>
      </c>
      <c r="C105" s="1" t="n">
        <v>45259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11493-2020</t>
        </is>
      </c>
      <c r="B106" s="1" t="n">
        <v>43893</v>
      </c>
      <c r="C106" s="1" t="n">
        <v>45259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11525-2020</t>
        </is>
      </c>
      <c r="B107" s="1" t="n">
        <v>43893</v>
      </c>
      <c r="C107" s="1" t="n">
        <v>45259</v>
      </c>
      <c r="D107" t="inlineStr">
        <is>
          <t>VÄSTRA GÖTALANDS LÄN</t>
        </is>
      </c>
      <c r="E107" t="inlineStr">
        <is>
          <t>TÖREBODA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12052-2020</t>
        </is>
      </c>
      <c r="B108" s="1" t="n">
        <v>43894</v>
      </c>
      <c r="C108" s="1" t="n">
        <v>45259</v>
      </c>
      <c r="D108" t="inlineStr">
        <is>
          <t>VÄSTRA GÖTALANDS LÄN</t>
        </is>
      </c>
      <c r="E108" t="inlineStr">
        <is>
          <t>TÖREBODA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12880-2020</t>
        </is>
      </c>
      <c r="B109" s="1" t="n">
        <v>43900</v>
      </c>
      <c r="C109" s="1" t="n">
        <v>45259</v>
      </c>
      <c r="D109" t="inlineStr">
        <is>
          <t>VÄSTRA GÖTALANDS LÄN</t>
        </is>
      </c>
      <c r="E109" t="inlineStr">
        <is>
          <t>TÖREBODA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15219-2020</t>
        </is>
      </c>
      <c r="B110" s="1" t="n">
        <v>43913</v>
      </c>
      <c r="C110" s="1" t="n">
        <v>45259</v>
      </c>
      <c r="D110" t="inlineStr">
        <is>
          <t>VÄSTRA GÖTALANDS LÄN</t>
        </is>
      </c>
      <c r="E110" t="inlineStr">
        <is>
          <t>TÖREBODA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15226-2020</t>
        </is>
      </c>
      <c r="B111" s="1" t="n">
        <v>43913</v>
      </c>
      <c r="C111" s="1" t="n">
        <v>45259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18078-2020</t>
        </is>
      </c>
      <c r="B112" s="1" t="n">
        <v>43924</v>
      </c>
      <c r="C112" s="1" t="n">
        <v>45259</v>
      </c>
      <c r="D112" t="inlineStr">
        <is>
          <t>VÄSTRA GÖTALANDS LÄN</t>
        </is>
      </c>
      <c r="E112" t="inlineStr">
        <is>
          <t>TÖREBODA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18116-2020</t>
        </is>
      </c>
      <c r="B113" s="1" t="n">
        <v>43924</v>
      </c>
      <c r="C113" s="1" t="n">
        <v>45259</v>
      </c>
      <c r="D113" t="inlineStr">
        <is>
          <t>VÄSTRA GÖTALANDS LÄN</t>
        </is>
      </c>
      <c r="E113" t="inlineStr">
        <is>
          <t>TÖREBODA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18110-2020</t>
        </is>
      </c>
      <c r="B114" s="1" t="n">
        <v>43924</v>
      </c>
      <c r="C114" s="1" t="n">
        <v>45259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20446-2020</t>
        </is>
      </c>
      <c r="B115" s="1" t="n">
        <v>43948</v>
      </c>
      <c r="C115" s="1" t="n">
        <v>45259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20689-2020</t>
        </is>
      </c>
      <c r="B116" s="1" t="n">
        <v>43949</v>
      </c>
      <c r="C116" s="1" t="n">
        <v>45259</v>
      </c>
      <c r="D116" t="inlineStr">
        <is>
          <t>VÄSTRA GÖTALANDS LÄN</t>
        </is>
      </c>
      <c r="E116" t="inlineStr">
        <is>
          <t>TÖREBODA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21792-2020</t>
        </is>
      </c>
      <c r="B117" s="1" t="n">
        <v>43958</v>
      </c>
      <c r="C117" s="1" t="n">
        <v>45259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22742-2020</t>
        </is>
      </c>
      <c r="B118" s="1" t="n">
        <v>43964</v>
      </c>
      <c r="C118" s="1" t="n">
        <v>45259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28912-2020</t>
        </is>
      </c>
      <c r="B119" s="1" t="n">
        <v>44000</v>
      </c>
      <c r="C119" s="1" t="n">
        <v>45259</v>
      </c>
      <c r="D119" t="inlineStr">
        <is>
          <t>VÄSTRA GÖTALANDS LÄN</t>
        </is>
      </c>
      <c r="E119" t="inlineStr">
        <is>
          <t>TÖREBODA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29910-2020</t>
        </is>
      </c>
      <c r="B120" s="1" t="n">
        <v>44006</v>
      </c>
      <c r="C120" s="1" t="n">
        <v>45259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35969-2020</t>
        </is>
      </c>
      <c r="B121" s="1" t="n">
        <v>44047</v>
      </c>
      <c r="C121" s="1" t="n">
        <v>45259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36130-2020</t>
        </is>
      </c>
      <c r="B122" s="1" t="n">
        <v>44048</v>
      </c>
      <c r="C122" s="1" t="n">
        <v>45259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38650-2020</t>
        </is>
      </c>
      <c r="B123" s="1" t="n">
        <v>44061</v>
      </c>
      <c r="C123" s="1" t="n">
        <v>45259</v>
      </c>
      <c r="D123" t="inlineStr">
        <is>
          <t>VÄSTRA GÖTALANDS LÄN</t>
        </is>
      </c>
      <c r="E123" t="inlineStr">
        <is>
          <t>TÖREBODA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42450-2020</t>
        </is>
      </c>
      <c r="B124" s="1" t="n">
        <v>44076</v>
      </c>
      <c r="C124" s="1" t="n">
        <v>45259</v>
      </c>
      <c r="D124" t="inlineStr">
        <is>
          <t>VÄSTRA GÖTALANDS LÄN</t>
        </is>
      </c>
      <c r="E124" t="inlineStr">
        <is>
          <t>TÖREBODA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43784-2020</t>
        </is>
      </c>
      <c r="B125" s="1" t="n">
        <v>44082</v>
      </c>
      <c r="C125" s="1" t="n">
        <v>45259</v>
      </c>
      <c r="D125" t="inlineStr">
        <is>
          <t>VÄSTRA GÖTALANDS LÄN</t>
        </is>
      </c>
      <c r="E125" t="inlineStr">
        <is>
          <t>TÖREBODA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44719-2020</t>
        </is>
      </c>
      <c r="B126" s="1" t="n">
        <v>44083</v>
      </c>
      <c r="C126" s="1" t="n">
        <v>45259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44728-2020</t>
        </is>
      </c>
      <c r="B127" s="1" t="n">
        <v>44083</v>
      </c>
      <c r="C127" s="1" t="n">
        <v>45259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45458-2020</t>
        </is>
      </c>
      <c r="B128" s="1" t="n">
        <v>44089</v>
      </c>
      <c r="C128" s="1" t="n">
        <v>45259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51231-2020</t>
        </is>
      </c>
      <c r="B129" s="1" t="n">
        <v>44106</v>
      </c>
      <c r="C129" s="1" t="n">
        <v>45259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51258-2020</t>
        </is>
      </c>
      <c r="B130" s="1" t="n">
        <v>44106</v>
      </c>
      <c r="C130" s="1" t="n">
        <v>45259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51248-2020</t>
        </is>
      </c>
      <c r="B131" s="1" t="n">
        <v>44106</v>
      </c>
      <c r="C131" s="1" t="n">
        <v>45259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51235-2020</t>
        </is>
      </c>
      <c r="B132" s="1" t="n">
        <v>44106</v>
      </c>
      <c r="C132" s="1" t="n">
        <v>45259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51294-2020</t>
        </is>
      </c>
      <c r="B133" s="1" t="n">
        <v>44112</v>
      </c>
      <c r="C133" s="1" t="n">
        <v>45259</v>
      </c>
      <c r="D133" t="inlineStr">
        <is>
          <t>VÄSTRA GÖTALANDS LÄN</t>
        </is>
      </c>
      <c r="E133" t="inlineStr">
        <is>
          <t>TÖREBODA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51301-2020</t>
        </is>
      </c>
      <c r="B134" s="1" t="n">
        <v>44112</v>
      </c>
      <c r="C134" s="1" t="n">
        <v>45259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51289-2020</t>
        </is>
      </c>
      <c r="B135" s="1" t="n">
        <v>44112</v>
      </c>
      <c r="C135" s="1" t="n">
        <v>45259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51298-2020</t>
        </is>
      </c>
      <c r="B136" s="1" t="n">
        <v>44112</v>
      </c>
      <c r="C136" s="1" t="n">
        <v>45259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51299-2020</t>
        </is>
      </c>
      <c r="B137" s="1" t="n">
        <v>44112</v>
      </c>
      <c r="C137" s="1" t="n">
        <v>45259</v>
      </c>
      <c r="D137" t="inlineStr">
        <is>
          <t>VÄSTRA GÖTALANDS LÄN</t>
        </is>
      </c>
      <c r="E137" t="inlineStr">
        <is>
          <t>TÖREBODA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56931-2020</t>
        </is>
      </c>
      <c r="B138" s="1" t="n">
        <v>44137</v>
      </c>
      <c r="C138" s="1" t="n">
        <v>45259</v>
      </c>
      <c r="D138" t="inlineStr">
        <is>
          <t>VÄSTRA GÖTALANDS LÄN</t>
        </is>
      </c>
      <c r="E138" t="inlineStr">
        <is>
          <t>TÖREBODA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56928-2020</t>
        </is>
      </c>
      <c r="B139" s="1" t="n">
        <v>44137</v>
      </c>
      <c r="C139" s="1" t="n">
        <v>45259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56937-2020</t>
        </is>
      </c>
      <c r="B140" s="1" t="n">
        <v>44137</v>
      </c>
      <c r="C140" s="1" t="n">
        <v>45259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56929-2020</t>
        </is>
      </c>
      <c r="B141" s="1" t="n">
        <v>44137</v>
      </c>
      <c r="C141" s="1" t="n">
        <v>45259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56940-2020</t>
        </is>
      </c>
      <c r="B142" s="1" t="n">
        <v>44137</v>
      </c>
      <c r="C142" s="1" t="n">
        <v>45259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57501-2020</t>
        </is>
      </c>
      <c r="B143" s="1" t="n">
        <v>44139</v>
      </c>
      <c r="C143" s="1" t="n">
        <v>45259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59387-2020</t>
        </is>
      </c>
      <c r="B144" s="1" t="n">
        <v>44148</v>
      </c>
      <c r="C144" s="1" t="n">
        <v>45259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60440-2020</t>
        </is>
      </c>
      <c r="B145" s="1" t="n">
        <v>44152</v>
      </c>
      <c r="C145" s="1" t="n">
        <v>45259</v>
      </c>
      <c r="D145" t="inlineStr">
        <is>
          <t>VÄSTRA GÖTALANDS LÄN</t>
        </is>
      </c>
      <c r="E145" t="inlineStr">
        <is>
          <t>TÖREBODA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61357-2020</t>
        </is>
      </c>
      <c r="B146" s="1" t="n">
        <v>44155</v>
      </c>
      <c r="C146" s="1" t="n">
        <v>45259</v>
      </c>
      <c r="D146" t="inlineStr">
        <is>
          <t>VÄSTRA GÖTALANDS LÄN</t>
        </is>
      </c>
      <c r="E146" t="inlineStr">
        <is>
          <t>TÖREBODA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61850-2020</t>
        </is>
      </c>
      <c r="B147" s="1" t="n">
        <v>44159</v>
      </c>
      <c r="C147" s="1" t="n">
        <v>45259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64242-2020</t>
        </is>
      </c>
      <c r="B148" s="1" t="n">
        <v>44168</v>
      </c>
      <c r="C148" s="1" t="n">
        <v>45259</v>
      </c>
      <c r="D148" t="inlineStr">
        <is>
          <t>VÄSTRA GÖTALANDS LÄN</t>
        </is>
      </c>
      <c r="E148" t="inlineStr">
        <is>
          <t>TÖREBODA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64973-2020</t>
        </is>
      </c>
      <c r="B149" s="1" t="n">
        <v>44169</v>
      </c>
      <c r="C149" s="1" t="n">
        <v>45259</v>
      </c>
      <c r="D149" t="inlineStr">
        <is>
          <t>VÄSTRA GÖTALANDS LÄN</t>
        </is>
      </c>
      <c r="E149" t="inlineStr">
        <is>
          <t>TÖREBODA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64899-2020</t>
        </is>
      </c>
      <c r="B150" s="1" t="n">
        <v>44171</v>
      </c>
      <c r="C150" s="1" t="n">
        <v>45259</v>
      </c>
      <c r="D150" t="inlineStr">
        <is>
          <t>VÄSTRA GÖTALANDS LÄN</t>
        </is>
      </c>
      <c r="E150" t="inlineStr">
        <is>
          <t>TÖREBODA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66050-2020</t>
        </is>
      </c>
      <c r="B151" s="1" t="n">
        <v>44175</v>
      </c>
      <c r="C151" s="1" t="n">
        <v>45259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66534-2020</t>
        </is>
      </c>
      <c r="B152" s="1" t="n">
        <v>44179</v>
      </c>
      <c r="C152" s="1" t="n">
        <v>45259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69322-2020</t>
        </is>
      </c>
      <c r="B153" s="1" t="n">
        <v>44192</v>
      </c>
      <c r="C153" s="1" t="n">
        <v>45259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956-2021</t>
        </is>
      </c>
      <c r="B154" s="1" t="n">
        <v>44207</v>
      </c>
      <c r="C154" s="1" t="n">
        <v>45259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3656-2021</t>
        </is>
      </c>
      <c r="B155" s="1" t="n">
        <v>44221</v>
      </c>
      <c r="C155" s="1" t="n">
        <v>45259</v>
      </c>
      <c r="D155" t="inlineStr">
        <is>
          <t>VÄSTRA GÖTALANDS LÄN</t>
        </is>
      </c>
      <c r="E155" t="inlineStr">
        <is>
          <t>TÖREBODA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4390-2021</t>
        </is>
      </c>
      <c r="B156" s="1" t="n">
        <v>44223</v>
      </c>
      <c r="C156" s="1" t="n">
        <v>45259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5530-2021</t>
        </is>
      </c>
      <c r="B157" s="1" t="n">
        <v>44230</v>
      </c>
      <c r="C157" s="1" t="n">
        <v>45259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11200-2021</t>
        </is>
      </c>
      <c r="B158" s="1" t="n">
        <v>44263</v>
      </c>
      <c r="C158" s="1" t="n">
        <v>45259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12089-2021</t>
        </is>
      </c>
      <c r="B159" s="1" t="n">
        <v>44266</v>
      </c>
      <c r="C159" s="1" t="n">
        <v>45259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12107-2021</t>
        </is>
      </c>
      <c r="B160" s="1" t="n">
        <v>44266</v>
      </c>
      <c r="C160" s="1" t="n">
        <v>45259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13391-2021</t>
        </is>
      </c>
      <c r="B161" s="1" t="n">
        <v>44273</v>
      </c>
      <c r="C161" s="1" t="n">
        <v>45259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14609-2021</t>
        </is>
      </c>
      <c r="B162" s="1" t="n">
        <v>44280</v>
      </c>
      <c r="C162" s="1" t="n">
        <v>45259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15974-2021</t>
        </is>
      </c>
      <c r="B163" s="1" t="n">
        <v>44287</v>
      </c>
      <c r="C163" s="1" t="n">
        <v>45259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15970-2021</t>
        </is>
      </c>
      <c r="B164" s="1" t="n">
        <v>44287</v>
      </c>
      <c r="C164" s="1" t="n">
        <v>45259</v>
      </c>
      <c r="D164" t="inlineStr">
        <is>
          <t>VÄSTRA GÖTALANDS LÄN</t>
        </is>
      </c>
      <c r="E164" t="inlineStr">
        <is>
          <t>TÖREBODA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18888-2021</t>
        </is>
      </c>
      <c r="B165" s="1" t="n">
        <v>44308</v>
      </c>
      <c r="C165" s="1" t="n">
        <v>45259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20943-2021</t>
        </is>
      </c>
      <c r="B166" s="1" t="n">
        <v>44319</v>
      </c>
      <c r="C166" s="1" t="n">
        <v>45259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21275-2021</t>
        </is>
      </c>
      <c r="B167" s="1" t="n">
        <v>44320</v>
      </c>
      <c r="C167" s="1" t="n">
        <v>45259</v>
      </c>
      <c r="D167" t="inlineStr">
        <is>
          <t>VÄSTRA GÖTALANDS LÄN</t>
        </is>
      </c>
      <c r="E167" t="inlineStr">
        <is>
          <t>TÖREBODA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22264-2021</t>
        </is>
      </c>
      <c r="B168" s="1" t="n">
        <v>44326</v>
      </c>
      <c r="C168" s="1" t="n">
        <v>45259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22265-2021</t>
        </is>
      </c>
      <c r="B169" s="1" t="n">
        <v>44326</v>
      </c>
      <c r="C169" s="1" t="n">
        <v>45259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22297-2021</t>
        </is>
      </c>
      <c r="B170" s="1" t="n">
        <v>44326</v>
      </c>
      <c r="C170" s="1" t="n">
        <v>45259</v>
      </c>
      <c r="D170" t="inlineStr">
        <is>
          <t>VÄSTRA GÖTALANDS LÄN</t>
        </is>
      </c>
      <c r="E170" t="inlineStr">
        <is>
          <t>TÖREBODA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22896-2021</t>
        </is>
      </c>
      <c r="B171" s="1" t="n">
        <v>44328</v>
      </c>
      <c r="C171" s="1" t="n">
        <v>45259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22894-2021</t>
        </is>
      </c>
      <c r="B172" s="1" t="n">
        <v>44328</v>
      </c>
      <c r="C172" s="1" t="n">
        <v>45259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22831-2021</t>
        </is>
      </c>
      <c r="B173" s="1" t="n">
        <v>44328</v>
      </c>
      <c r="C173" s="1" t="n">
        <v>45259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25733-2021</t>
        </is>
      </c>
      <c r="B174" s="1" t="n">
        <v>44343</v>
      </c>
      <c r="C174" s="1" t="n">
        <v>45259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26208-2021</t>
        </is>
      </c>
      <c r="B175" s="1" t="n">
        <v>44347</v>
      </c>
      <c r="C175" s="1" t="n">
        <v>45259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31195-2021</t>
        </is>
      </c>
      <c r="B176" s="1" t="n">
        <v>44368</v>
      </c>
      <c r="C176" s="1" t="n">
        <v>45259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31973-2021</t>
        </is>
      </c>
      <c r="B177" s="1" t="n">
        <v>44370</v>
      </c>
      <c r="C177" s="1" t="n">
        <v>45259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34145-2021</t>
        </is>
      </c>
      <c r="B178" s="1" t="n">
        <v>44379</v>
      </c>
      <c r="C178" s="1" t="n">
        <v>45259</v>
      </c>
      <c r="D178" t="inlineStr">
        <is>
          <t>VÄSTRA GÖTALANDS LÄN</t>
        </is>
      </c>
      <c r="E178" t="inlineStr">
        <is>
          <t>TÖREBODA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34149-2021</t>
        </is>
      </c>
      <c r="B179" s="1" t="n">
        <v>44379</v>
      </c>
      <c r="C179" s="1" t="n">
        <v>45259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34888-2021</t>
        </is>
      </c>
      <c r="B180" s="1" t="n">
        <v>44383</v>
      </c>
      <c r="C180" s="1" t="n">
        <v>45259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36495-2021</t>
        </is>
      </c>
      <c r="B181" s="1" t="n">
        <v>44390</v>
      </c>
      <c r="C181" s="1" t="n">
        <v>45259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38010-2021</t>
        </is>
      </c>
      <c r="B182" s="1" t="n">
        <v>44404</v>
      </c>
      <c r="C182" s="1" t="n">
        <v>45259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38009-2021</t>
        </is>
      </c>
      <c r="B183" s="1" t="n">
        <v>44404</v>
      </c>
      <c r="C183" s="1" t="n">
        <v>45259</v>
      </c>
      <c r="D183" t="inlineStr">
        <is>
          <t>VÄSTRA GÖTALANDS LÄN</t>
        </is>
      </c>
      <c r="E183" t="inlineStr">
        <is>
          <t>TÖREBODA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38266-2021</t>
        </is>
      </c>
      <c r="B184" s="1" t="n">
        <v>44405</v>
      </c>
      <c r="C184" s="1" t="n">
        <v>45259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40127-2021</t>
        </is>
      </c>
      <c r="B185" s="1" t="n">
        <v>44418</v>
      </c>
      <c r="C185" s="1" t="n">
        <v>45259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40321-2021</t>
        </is>
      </c>
      <c r="B186" s="1" t="n">
        <v>44419</v>
      </c>
      <c r="C186" s="1" t="n">
        <v>45259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41557-2021</t>
        </is>
      </c>
      <c r="B187" s="1" t="n">
        <v>44425</v>
      </c>
      <c r="C187" s="1" t="n">
        <v>45259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42215-2021</t>
        </is>
      </c>
      <c r="B188" s="1" t="n">
        <v>44426</v>
      </c>
      <c r="C188" s="1" t="n">
        <v>45259</v>
      </c>
      <c r="D188" t="inlineStr">
        <is>
          <t>VÄSTRA GÖTALANDS LÄN</t>
        </is>
      </c>
      <c r="E188" t="inlineStr">
        <is>
          <t>TÖREBODA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42350-2021</t>
        </is>
      </c>
      <c r="B189" s="1" t="n">
        <v>44427</v>
      </c>
      <c r="C189" s="1" t="n">
        <v>45259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43528-2021</t>
        </is>
      </c>
      <c r="B190" s="1" t="n">
        <v>44433</v>
      </c>
      <c r="C190" s="1" t="n">
        <v>45259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49567-2021</t>
        </is>
      </c>
      <c r="B191" s="1" t="n">
        <v>44454</v>
      </c>
      <c r="C191" s="1" t="n">
        <v>45259</v>
      </c>
      <c r="D191" t="inlineStr">
        <is>
          <t>VÄSTRA GÖTALANDS LÄN</t>
        </is>
      </c>
      <c r="E191" t="inlineStr">
        <is>
          <t>TÖREBODA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49535-2021</t>
        </is>
      </c>
      <c r="B192" s="1" t="n">
        <v>44454</v>
      </c>
      <c r="C192" s="1" t="n">
        <v>45259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50249-2021</t>
        </is>
      </c>
      <c r="B193" s="1" t="n">
        <v>44458</v>
      </c>
      <c r="C193" s="1" t="n">
        <v>45259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54617-2021</t>
        </is>
      </c>
      <c r="B194" s="1" t="n">
        <v>44473</v>
      </c>
      <c r="C194" s="1" t="n">
        <v>45259</v>
      </c>
      <c r="D194" t="inlineStr">
        <is>
          <t>VÄSTRA GÖTALANDS LÄN</t>
        </is>
      </c>
      <c r="E194" t="inlineStr">
        <is>
          <t>TÖREBODA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54621-2021</t>
        </is>
      </c>
      <c r="B195" s="1" t="n">
        <v>44473</v>
      </c>
      <c r="C195" s="1" t="n">
        <v>45259</v>
      </c>
      <c r="D195" t="inlineStr">
        <is>
          <t>VÄSTRA GÖTALANDS LÄN</t>
        </is>
      </c>
      <c r="E195" t="inlineStr">
        <is>
          <t>TÖREBODA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57225-2021</t>
        </is>
      </c>
      <c r="B196" s="1" t="n">
        <v>44483</v>
      </c>
      <c r="C196" s="1" t="n">
        <v>45259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59945-2021</t>
        </is>
      </c>
      <c r="B197" s="1" t="n">
        <v>44494</v>
      </c>
      <c r="C197" s="1" t="n">
        <v>45259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62339-2021</t>
        </is>
      </c>
      <c r="B198" s="1" t="n">
        <v>44503</v>
      </c>
      <c r="C198" s="1" t="n">
        <v>45259</v>
      </c>
      <c r="D198" t="inlineStr">
        <is>
          <t>VÄSTRA GÖTALANDS LÄN</t>
        </is>
      </c>
      <c r="E198" t="inlineStr">
        <is>
          <t>TÖREBODA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62632-2021</t>
        </is>
      </c>
      <c r="B199" s="1" t="n">
        <v>44503</v>
      </c>
      <c r="C199" s="1" t="n">
        <v>45259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62633-2021</t>
        </is>
      </c>
      <c r="B200" s="1" t="n">
        <v>44503</v>
      </c>
      <c r="C200" s="1" t="n">
        <v>45259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63182-2021</t>
        </is>
      </c>
      <c r="B201" s="1" t="n">
        <v>44507</v>
      </c>
      <c r="C201" s="1" t="n">
        <v>45259</v>
      </c>
      <c r="D201" t="inlineStr">
        <is>
          <t>VÄSTRA GÖTALANDS LÄN</t>
        </is>
      </c>
      <c r="E201" t="inlineStr">
        <is>
          <t>TÖREBODA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63358-2021</t>
        </is>
      </c>
      <c r="B202" s="1" t="n">
        <v>44508</v>
      </c>
      <c r="C202" s="1" t="n">
        <v>45259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64052-2021</t>
        </is>
      </c>
      <c r="B203" s="1" t="n">
        <v>44508</v>
      </c>
      <c r="C203" s="1" t="n">
        <v>45259</v>
      </c>
      <c r="D203" t="inlineStr">
        <is>
          <t>VÄSTRA GÖTALANDS LÄN</t>
        </is>
      </c>
      <c r="E203" t="inlineStr">
        <is>
          <t>TÖREBODA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63749-2021</t>
        </is>
      </c>
      <c r="B204" s="1" t="n">
        <v>44509</v>
      </c>
      <c r="C204" s="1" t="n">
        <v>45259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63772-2021</t>
        </is>
      </c>
      <c r="B205" s="1" t="n">
        <v>44509</v>
      </c>
      <c r="C205" s="1" t="n">
        <v>45259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63778-2021</t>
        </is>
      </c>
      <c r="B206" s="1" t="n">
        <v>44509</v>
      </c>
      <c r="C206" s="1" t="n">
        <v>45259</v>
      </c>
      <c r="D206" t="inlineStr">
        <is>
          <t>VÄSTRA GÖTALANDS LÄN</t>
        </is>
      </c>
      <c r="E206" t="inlineStr">
        <is>
          <t>TÖREBODA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67966-2021</t>
        </is>
      </c>
      <c r="B207" s="1" t="n">
        <v>44525</v>
      </c>
      <c r="C207" s="1" t="n">
        <v>45259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69286-2021</t>
        </is>
      </c>
      <c r="B208" s="1" t="n">
        <v>44531</v>
      </c>
      <c r="C208" s="1" t="n">
        <v>45259</v>
      </c>
      <c r="D208" t="inlineStr">
        <is>
          <t>VÄSTRA GÖTALANDS LÄN</t>
        </is>
      </c>
      <c r="E208" t="inlineStr">
        <is>
          <t>TÖREBODA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69817-2021</t>
        </is>
      </c>
      <c r="B209" s="1" t="n">
        <v>44532</v>
      </c>
      <c r="C209" s="1" t="n">
        <v>45259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69818-2021</t>
        </is>
      </c>
      <c r="B210" s="1" t="n">
        <v>44532</v>
      </c>
      <c r="C210" s="1" t="n">
        <v>45259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72532-2021</t>
        </is>
      </c>
      <c r="B211" s="1" t="n">
        <v>44546</v>
      </c>
      <c r="C211" s="1" t="n">
        <v>45259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73897-2021</t>
        </is>
      </c>
      <c r="B212" s="1" t="n">
        <v>44553</v>
      </c>
      <c r="C212" s="1" t="n">
        <v>45259</v>
      </c>
      <c r="D212" t="inlineStr">
        <is>
          <t>VÄSTRA GÖTALANDS LÄN</t>
        </is>
      </c>
      <c r="E212" t="inlineStr">
        <is>
          <t>TÖREBODA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384-2022</t>
        </is>
      </c>
      <c r="B213" s="1" t="n">
        <v>44565</v>
      </c>
      <c r="C213" s="1" t="n">
        <v>45259</v>
      </c>
      <c r="D213" t="inlineStr">
        <is>
          <t>VÄSTRA GÖTALANDS LÄN</t>
        </is>
      </c>
      <c r="E213" t="inlineStr">
        <is>
          <t>TÖREBODA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419-2022</t>
        </is>
      </c>
      <c r="B214" s="1" t="n">
        <v>44565</v>
      </c>
      <c r="C214" s="1" t="n">
        <v>45259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472-2022</t>
        </is>
      </c>
      <c r="B215" s="1" t="n">
        <v>44566</v>
      </c>
      <c r="C215" s="1" t="n">
        <v>45259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989-2022</t>
        </is>
      </c>
      <c r="B216" s="1" t="n">
        <v>44571</v>
      </c>
      <c r="C216" s="1" t="n">
        <v>45259</v>
      </c>
      <c r="D216" t="inlineStr">
        <is>
          <t>VÄSTRA GÖTALANDS LÄN</t>
        </is>
      </c>
      <c r="E216" t="inlineStr">
        <is>
          <t>TÖREBODA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1639-2022</t>
        </is>
      </c>
      <c r="B217" s="1" t="n">
        <v>44574</v>
      </c>
      <c r="C217" s="1" t="n">
        <v>45259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1637-2022</t>
        </is>
      </c>
      <c r="B218" s="1" t="n">
        <v>44574</v>
      </c>
      <c r="C218" s="1" t="n">
        <v>45259</v>
      </c>
      <c r="D218" t="inlineStr">
        <is>
          <t>VÄSTRA GÖTALANDS LÄN</t>
        </is>
      </c>
      <c r="E218" t="inlineStr">
        <is>
          <t>TÖREBODA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2385-2022</t>
        </is>
      </c>
      <c r="B219" s="1" t="n">
        <v>44579</v>
      </c>
      <c r="C219" s="1" t="n">
        <v>45259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5971-2022</t>
        </is>
      </c>
      <c r="B220" s="1" t="n">
        <v>44599</v>
      </c>
      <c r="C220" s="1" t="n">
        <v>45259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6631-2022</t>
        </is>
      </c>
      <c r="B221" s="1" t="n">
        <v>44601</v>
      </c>
      <c r="C221" s="1" t="n">
        <v>45259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7781-2022</t>
        </is>
      </c>
      <c r="B222" s="1" t="n">
        <v>44608</v>
      </c>
      <c r="C222" s="1" t="n">
        <v>45259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8209-2022</t>
        </is>
      </c>
      <c r="B223" s="1" t="n">
        <v>44609</v>
      </c>
      <c r="C223" s="1" t="n">
        <v>45259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8825-2022</t>
        </is>
      </c>
      <c r="B224" s="1" t="n">
        <v>44614</v>
      </c>
      <c r="C224" s="1" t="n">
        <v>45259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8839-2022</t>
        </is>
      </c>
      <c r="B225" s="1" t="n">
        <v>44614</v>
      </c>
      <c r="C225" s="1" t="n">
        <v>45259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8838-2022</t>
        </is>
      </c>
      <c r="B226" s="1" t="n">
        <v>44614</v>
      </c>
      <c r="C226" s="1" t="n">
        <v>45259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8858-2022</t>
        </is>
      </c>
      <c r="B227" s="1" t="n">
        <v>44614</v>
      </c>
      <c r="C227" s="1" t="n">
        <v>45259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8919-2022</t>
        </is>
      </c>
      <c r="B228" s="1" t="n">
        <v>44614</v>
      </c>
      <c r="C228" s="1" t="n">
        <v>45259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8918-2022</t>
        </is>
      </c>
      <c r="B229" s="1" t="n">
        <v>44614</v>
      </c>
      <c r="C229" s="1" t="n">
        <v>45259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8922-2022</t>
        </is>
      </c>
      <c r="B230" s="1" t="n">
        <v>44614</v>
      </c>
      <c r="C230" s="1" t="n">
        <v>45259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8859-2022</t>
        </is>
      </c>
      <c r="B231" s="1" t="n">
        <v>44614</v>
      </c>
      <c r="C231" s="1" t="n">
        <v>45259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8915-2022</t>
        </is>
      </c>
      <c r="B232" s="1" t="n">
        <v>44614</v>
      </c>
      <c r="C232" s="1" t="n">
        <v>45259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8916-2022</t>
        </is>
      </c>
      <c r="B233" s="1" t="n">
        <v>44614</v>
      </c>
      <c r="C233" s="1" t="n">
        <v>45259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8921-2022</t>
        </is>
      </c>
      <c r="B234" s="1" t="n">
        <v>44614</v>
      </c>
      <c r="C234" s="1" t="n">
        <v>45259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9434-2022</t>
        </is>
      </c>
      <c r="B235" s="1" t="n">
        <v>44616</v>
      </c>
      <c r="C235" s="1" t="n">
        <v>45259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9438-2022</t>
        </is>
      </c>
      <c r="B236" s="1" t="n">
        <v>44616</v>
      </c>
      <c r="C236" s="1" t="n">
        <v>45259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13384-2022</t>
        </is>
      </c>
      <c r="B237" s="1" t="n">
        <v>44645</v>
      </c>
      <c r="C237" s="1" t="n">
        <v>45259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15947-2022</t>
        </is>
      </c>
      <c r="B238" s="1" t="n">
        <v>44664</v>
      </c>
      <c r="C238" s="1" t="n">
        <v>45259</v>
      </c>
      <c r="D238" t="inlineStr">
        <is>
          <t>VÄSTRA GÖTALANDS LÄN</t>
        </is>
      </c>
      <c r="E238" t="inlineStr">
        <is>
          <t>TÖREBODA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16071-2022</t>
        </is>
      </c>
      <c r="B239" s="1" t="n">
        <v>44665</v>
      </c>
      <c r="C239" s="1" t="n">
        <v>45259</v>
      </c>
      <c r="D239" t="inlineStr">
        <is>
          <t>VÄSTRA GÖTALANDS LÄN</t>
        </is>
      </c>
      <c r="E239" t="inlineStr">
        <is>
          <t>TÖREBODA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18082-2022</t>
        </is>
      </c>
      <c r="B240" s="1" t="n">
        <v>44684</v>
      </c>
      <c r="C240" s="1" t="n">
        <v>45259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18413-2022</t>
        </is>
      </c>
      <c r="B241" s="1" t="n">
        <v>44686</v>
      </c>
      <c r="C241" s="1" t="n">
        <v>45259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18936-2022</t>
        </is>
      </c>
      <c r="B242" s="1" t="n">
        <v>44690</v>
      </c>
      <c r="C242" s="1" t="n">
        <v>45259</v>
      </c>
      <c r="D242" t="inlineStr">
        <is>
          <t>VÄSTRA GÖTALANDS LÄN</t>
        </is>
      </c>
      <c r="E242" t="inlineStr">
        <is>
          <t>TÖREBODA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18948-2022</t>
        </is>
      </c>
      <c r="B243" s="1" t="n">
        <v>44690</v>
      </c>
      <c r="C243" s="1" t="n">
        <v>45259</v>
      </c>
      <c r="D243" t="inlineStr">
        <is>
          <t>VÄSTRA GÖTALANDS LÄN</t>
        </is>
      </c>
      <c r="E243" t="inlineStr">
        <is>
          <t>TÖREBODA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19874-2022</t>
        </is>
      </c>
      <c r="B244" s="1" t="n">
        <v>44697</v>
      </c>
      <c r="C244" s="1" t="n">
        <v>45259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20210-2022</t>
        </is>
      </c>
      <c r="B245" s="1" t="n">
        <v>44698</v>
      </c>
      <c r="C245" s="1" t="n">
        <v>45259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22352-2022</t>
        </is>
      </c>
      <c r="B246" s="1" t="n">
        <v>44713</v>
      </c>
      <c r="C246" s="1" t="n">
        <v>45259</v>
      </c>
      <c r="D246" t="inlineStr">
        <is>
          <t>VÄSTRA GÖTALANDS LÄN</t>
        </is>
      </c>
      <c r="E246" t="inlineStr">
        <is>
          <t>TÖREBODA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23005-2022</t>
        </is>
      </c>
      <c r="B247" s="1" t="n">
        <v>44719</v>
      </c>
      <c r="C247" s="1" t="n">
        <v>45259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23024-2022</t>
        </is>
      </c>
      <c r="B248" s="1" t="n">
        <v>44719</v>
      </c>
      <c r="C248" s="1" t="n">
        <v>45259</v>
      </c>
      <c r="D248" t="inlineStr">
        <is>
          <t>VÄSTRA GÖTALANDS LÄN</t>
        </is>
      </c>
      <c r="E248" t="inlineStr">
        <is>
          <t>TÖREBODA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23018-2022</t>
        </is>
      </c>
      <c r="B249" s="1" t="n">
        <v>44719</v>
      </c>
      <c r="C249" s="1" t="n">
        <v>45259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24440-2022</t>
        </is>
      </c>
      <c r="B250" s="1" t="n">
        <v>44726</v>
      </c>
      <c r="C250" s="1" t="n">
        <v>45259</v>
      </c>
      <c r="D250" t="inlineStr">
        <is>
          <t>VÄSTRA GÖTALANDS LÄN</t>
        </is>
      </c>
      <c r="E250" t="inlineStr">
        <is>
          <t>TÖREBODA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25855-2022</t>
        </is>
      </c>
      <c r="B251" s="1" t="n">
        <v>44733</v>
      </c>
      <c r="C251" s="1" t="n">
        <v>45259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26226-2022</t>
        </is>
      </c>
      <c r="B252" s="1" t="n">
        <v>44735</v>
      </c>
      <c r="C252" s="1" t="n">
        <v>45259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26865-2022</t>
        </is>
      </c>
      <c r="B253" s="1" t="n">
        <v>44740</v>
      </c>
      <c r="C253" s="1" t="n">
        <v>45259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26759-2022</t>
        </is>
      </c>
      <c r="B254" s="1" t="n">
        <v>44740</v>
      </c>
      <c r="C254" s="1" t="n">
        <v>45259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27086-2022</t>
        </is>
      </c>
      <c r="B255" s="1" t="n">
        <v>44741</v>
      </c>
      <c r="C255" s="1" t="n">
        <v>45259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28180-2022</t>
        </is>
      </c>
      <c r="B256" s="1" t="n">
        <v>44746</v>
      </c>
      <c r="C256" s="1" t="n">
        <v>45259</v>
      </c>
      <c r="D256" t="inlineStr">
        <is>
          <t>VÄSTRA GÖTALANDS LÄN</t>
        </is>
      </c>
      <c r="E256" t="inlineStr">
        <is>
          <t>TÖREBODA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28196-2022</t>
        </is>
      </c>
      <c r="B257" s="1" t="n">
        <v>44746</v>
      </c>
      <c r="C257" s="1" t="n">
        <v>45259</v>
      </c>
      <c r="D257" t="inlineStr">
        <is>
          <t>VÄSTRA GÖTALANDS LÄN</t>
        </is>
      </c>
      <c r="E257" t="inlineStr">
        <is>
          <t>TÖREBODA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28183-2022</t>
        </is>
      </c>
      <c r="B258" s="1" t="n">
        <v>44746</v>
      </c>
      <c r="C258" s="1" t="n">
        <v>45259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45259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29560-2022</t>
        </is>
      </c>
      <c r="B260" s="1" t="n">
        <v>44754</v>
      </c>
      <c r="C260" s="1" t="n">
        <v>45259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29891-2022</t>
        </is>
      </c>
      <c r="B261" s="1" t="n">
        <v>44756</v>
      </c>
      <c r="C261" s="1" t="n">
        <v>45259</v>
      </c>
      <c r="D261" t="inlineStr">
        <is>
          <t>VÄSTRA GÖTALANDS LÄN</t>
        </is>
      </c>
      <c r="E261" t="inlineStr">
        <is>
          <t>TÖREBODA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32463-2022</t>
        </is>
      </c>
      <c r="B262" s="1" t="n">
        <v>44782</v>
      </c>
      <c r="C262" s="1" t="n">
        <v>45259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32824-2022</t>
        </is>
      </c>
      <c r="B263" s="1" t="n">
        <v>44784</v>
      </c>
      <c r="C263" s="1" t="n">
        <v>45259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33172-2022</t>
        </is>
      </c>
      <c r="B264" s="1" t="n">
        <v>44785</v>
      </c>
      <c r="C264" s="1" t="n">
        <v>45259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33167-2022</t>
        </is>
      </c>
      <c r="B265" s="1" t="n">
        <v>44785</v>
      </c>
      <c r="C265" s="1" t="n">
        <v>45259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33592-2022</t>
        </is>
      </c>
      <c r="B266" s="1" t="n">
        <v>44789</v>
      </c>
      <c r="C266" s="1" t="n">
        <v>45259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45259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35360-2022</t>
        </is>
      </c>
      <c r="B268" s="1" t="n">
        <v>44798</v>
      </c>
      <c r="C268" s="1" t="n">
        <v>45259</v>
      </c>
      <c r="D268" t="inlineStr">
        <is>
          <t>VÄSTRA GÖTALANDS LÄN</t>
        </is>
      </c>
      <c r="E268" t="inlineStr">
        <is>
          <t>TÖREBODA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35886-2022</t>
        </is>
      </c>
      <c r="B269" s="1" t="n">
        <v>44802</v>
      </c>
      <c r="C269" s="1" t="n">
        <v>45259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36772-2022</t>
        </is>
      </c>
      <c r="B270" s="1" t="n">
        <v>44805</v>
      </c>
      <c r="C270" s="1" t="n">
        <v>45259</v>
      </c>
      <c r="D270" t="inlineStr">
        <is>
          <t>VÄSTRA GÖTALANDS LÄN</t>
        </is>
      </c>
      <c r="E270" t="inlineStr">
        <is>
          <t>TÖREBODA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36805-2022</t>
        </is>
      </c>
      <c r="B271" s="1" t="n">
        <v>44805</v>
      </c>
      <c r="C271" s="1" t="n">
        <v>45259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38841-2022</t>
        </is>
      </c>
      <c r="B272" s="1" t="n">
        <v>44816</v>
      </c>
      <c r="C272" s="1" t="n">
        <v>45259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39542-2022</t>
        </is>
      </c>
      <c r="B273" s="1" t="n">
        <v>44818</v>
      </c>
      <c r="C273" s="1" t="n">
        <v>45259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39634-2022</t>
        </is>
      </c>
      <c r="B274" s="1" t="n">
        <v>44818</v>
      </c>
      <c r="C274" s="1" t="n">
        <v>45259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41635-2022</t>
        </is>
      </c>
      <c r="B275" s="1" t="n">
        <v>44827</v>
      </c>
      <c r="C275" s="1" t="n">
        <v>45259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41627-2022</t>
        </is>
      </c>
      <c r="B276" s="1" t="n">
        <v>44827</v>
      </c>
      <c r="C276" s="1" t="n">
        <v>45259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41632-2022</t>
        </is>
      </c>
      <c r="B277" s="1" t="n">
        <v>44827</v>
      </c>
      <c r="C277" s="1" t="n">
        <v>45259</v>
      </c>
      <c r="D277" t="inlineStr">
        <is>
          <t>VÄSTRA GÖTALANDS LÄN</t>
        </is>
      </c>
      <c r="E277" t="inlineStr">
        <is>
          <t>TÖREBODA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41637-2022</t>
        </is>
      </c>
      <c r="B278" s="1" t="n">
        <v>44827</v>
      </c>
      <c r="C278" s="1" t="n">
        <v>45259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43522-2022</t>
        </is>
      </c>
      <c r="B279" s="1" t="n">
        <v>44837</v>
      </c>
      <c r="C279" s="1" t="n">
        <v>45259</v>
      </c>
      <c r="D279" t="inlineStr">
        <is>
          <t>VÄSTRA GÖTALANDS LÄN</t>
        </is>
      </c>
      <c r="E279" t="inlineStr">
        <is>
          <t>TÖREBODA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44462-2022</t>
        </is>
      </c>
      <c r="B280" s="1" t="n">
        <v>44840</v>
      </c>
      <c r="C280" s="1" t="n">
        <v>45259</v>
      </c>
      <c r="D280" t="inlineStr">
        <is>
          <t>VÄSTRA GÖTALANDS LÄN</t>
        </is>
      </c>
      <c r="E280" t="inlineStr">
        <is>
          <t>TÖREBODA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45632-2022</t>
        </is>
      </c>
      <c r="B281" s="1" t="n">
        <v>44842</v>
      </c>
      <c r="C281" s="1" t="n">
        <v>45259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46759-2022</t>
        </is>
      </c>
      <c r="B282" s="1" t="n">
        <v>44847</v>
      </c>
      <c r="C282" s="1" t="n">
        <v>45259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46752-2022</t>
        </is>
      </c>
      <c r="B283" s="1" t="n">
        <v>44847</v>
      </c>
      <c r="C283" s="1" t="n">
        <v>45259</v>
      </c>
      <c r="D283" t="inlineStr">
        <is>
          <t>VÄSTRA GÖTALANDS LÄN</t>
        </is>
      </c>
      <c r="E283" t="inlineStr">
        <is>
          <t>TÖREBODA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47162-2022</t>
        </is>
      </c>
      <c r="B284" s="1" t="n">
        <v>44852</v>
      </c>
      <c r="C284" s="1" t="n">
        <v>45259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47319-2022</t>
        </is>
      </c>
      <c r="B285" s="1" t="n">
        <v>44853</v>
      </c>
      <c r="C285" s="1" t="n">
        <v>45259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47322-2022</t>
        </is>
      </c>
      <c r="B286" s="1" t="n">
        <v>44853</v>
      </c>
      <c r="C286" s="1" t="n">
        <v>45259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48491-2022</t>
        </is>
      </c>
      <c r="B287" s="1" t="n">
        <v>44858</v>
      </c>
      <c r="C287" s="1" t="n">
        <v>45259</v>
      </c>
      <c r="D287" t="inlineStr">
        <is>
          <t>VÄSTRA GÖTALANDS LÄN</t>
        </is>
      </c>
      <c r="E287" t="inlineStr">
        <is>
          <t>TÖREBODA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48957-2022</t>
        </is>
      </c>
      <c r="B288" s="1" t="n">
        <v>44860</v>
      </c>
      <c r="C288" s="1" t="n">
        <v>45259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48958-2022</t>
        </is>
      </c>
      <c r="B289" s="1" t="n">
        <v>44860</v>
      </c>
      <c r="C289" s="1" t="n">
        <v>45259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51040-2022</t>
        </is>
      </c>
      <c r="B290" s="1" t="n">
        <v>44868</v>
      </c>
      <c r="C290" s="1" t="n">
        <v>45259</v>
      </c>
      <c r="D290" t="inlineStr">
        <is>
          <t>VÄSTRA GÖTALANDS LÄN</t>
        </is>
      </c>
      <c r="E290" t="inlineStr">
        <is>
          <t>TÖREBODA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53344-2022</t>
        </is>
      </c>
      <c r="B291" s="1" t="n">
        <v>44879</v>
      </c>
      <c r="C291" s="1" t="n">
        <v>45259</v>
      </c>
      <c r="D291" t="inlineStr">
        <is>
          <t>VÄSTRA GÖTALANDS LÄN</t>
        </is>
      </c>
      <c r="E291" t="inlineStr">
        <is>
          <t>TÖREBODA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54685-2022</t>
        </is>
      </c>
      <c r="B292" s="1" t="n">
        <v>44883</v>
      </c>
      <c r="C292" s="1" t="n">
        <v>45259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56273-2022</t>
        </is>
      </c>
      <c r="B293" s="1" t="n">
        <v>44890</v>
      </c>
      <c r="C293" s="1" t="n">
        <v>45259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56831-2022</t>
        </is>
      </c>
      <c r="B294" s="1" t="n">
        <v>44894</v>
      </c>
      <c r="C294" s="1" t="n">
        <v>45259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45259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57974-2022</t>
        </is>
      </c>
      <c r="B296" s="1" t="n">
        <v>44900</v>
      </c>
      <c r="C296" s="1" t="n">
        <v>45259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58013-2022</t>
        </is>
      </c>
      <c r="B297" s="1" t="n">
        <v>44900</v>
      </c>
      <c r="C297" s="1" t="n">
        <v>45259</v>
      </c>
      <c r="D297" t="inlineStr">
        <is>
          <t>VÄSTRA GÖTALANDS LÄN</t>
        </is>
      </c>
      <c r="E297" t="inlineStr">
        <is>
          <t>TÖREBODA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58019-2022</t>
        </is>
      </c>
      <c r="B298" s="1" t="n">
        <v>44900</v>
      </c>
      <c r="C298" s="1" t="n">
        <v>45259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58123-2022</t>
        </is>
      </c>
      <c r="B299" s="1" t="n">
        <v>44900</v>
      </c>
      <c r="C299" s="1" t="n">
        <v>45259</v>
      </c>
      <c r="D299" t="inlineStr">
        <is>
          <t>VÄSTRA GÖTALANDS LÄN</t>
        </is>
      </c>
      <c r="E299" t="inlineStr">
        <is>
          <t>TÖREBODA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</v>
      </c>
      <c r="C300" s="1" t="n">
        <v>45259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58226-2022</t>
        </is>
      </c>
      <c r="B301" s="1" t="n">
        <v>44901</v>
      </c>
      <c r="C301" s="1" t="n">
        <v>45259</v>
      </c>
      <c r="D301" t="inlineStr">
        <is>
          <t>VÄSTRA GÖTALANDS LÄN</t>
        </is>
      </c>
      <c r="E301" t="inlineStr">
        <is>
          <t>TÖREBODA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58760-2022</t>
        </is>
      </c>
      <c r="B302" s="1" t="n">
        <v>44903</v>
      </c>
      <c r="C302" s="1" t="n">
        <v>45259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58755-2022</t>
        </is>
      </c>
      <c r="B303" s="1" t="n">
        <v>44903</v>
      </c>
      <c r="C303" s="1" t="n">
        <v>45259</v>
      </c>
      <c r="D303" t="inlineStr">
        <is>
          <t>VÄSTRA GÖTALANDS LÄN</t>
        </is>
      </c>
      <c r="E303" t="inlineStr">
        <is>
          <t>TÖREBODA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59206-2022</t>
        </is>
      </c>
      <c r="B304" s="1" t="n">
        <v>44904</v>
      </c>
      <c r="C304" s="1" t="n">
        <v>45259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60527-2022</t>
        </is>
      </c>
      <c r="B305" s="1" t="n">
        <v>44904</v>
      </c>
      <c r="C305" s="1" t="n">
        <v>45259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60530-2022</t>
        </is>
      </c>
      <c r="B306" s="1" t="n">
        <v>44904</v>
      </c>
      <c r="C306" s="1" t="n">
        <v>45259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59438-2022</t>
        </is>
      </c>
      <c r="B307" s="1" t="n">
        <v>44907</v>
      </c>
      <c r="C307" s="1" t="n">
        <v>45259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59440-2022</t>
        </is>
      </c>
      <c r="B308" s="1" t="n">
        <v>44907</v>
      </c>
      <c r="C308" s="1" t="n">
        <v>45259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59434-2022</t>
        </is>
      </c>
      <c r="B309" s="1" t="n">
        <v>44907</v>
      </c>
      <c r="C309" s="1" t="n">
        <v>45259</v>
      </c>
      <c r="D309" t="inlineStr">
        <is>
          <t>VÄSTRA GÖTALANDS LÄN</t>
        </is>
      </c>
      <c r="E309" t="inlineStr">
        <is>
          <t>TÖREBODA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59781-2022</t>
        </is>
      </c>
      <c r="B310" s="1" t="n">
        <v>44908</v>
      </c>
      <c r="C310" s="1" t="n">
        <v>45259</v>
      </c>
      <c r="D310" t="inlineStr">
        <is>
          <t>VÄSTRA GÖTALANDS LÄN</t>
        </is>
      </c>
      <c r="E310" t="inlineStr">
        <is>
          <t>TÖREBODA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61145-2022</t>
        </is>
      </c>
      <c r="B311" s="1" t="n">
        <v>44915</v>
      </c>
      <c r="C311" s="1" t="n">
        <v>45259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62359-2022</t>
        </is>
      </c>
      <c r="B312" s="1" t="n">
        <v>44923</v>
      </c>
      <c r="C312" s="1" t="n">
        <v>45259</v>
      </c>
      <c r="D312" t="inlineStr">
        <is>
          <t>VÄSTRA GÖTALANDS LÄN</t>
        </is>
      </c>
      <c r="E312" t="inlineStr">
        <is>
          <t>TÖREBODA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62363-2022</t>
        </is>
      </c>
      <c r="B313" s="1" t="n">
        <v>44923</v>
      </c>
      <c r="C313" s="1" t="n">
        <v>45259</v>
      </c>
      <c r="D313" t="inlineStr">
        <is>
          <t>VÄSTRA GÖTALANDS LÄN</t>
        </is>
      </c>
      <c r="E313" t="inlineStr">
        <is>
          <t>TÖREBODA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62360-2022</t>
        </is>
      </c>
      <c r="B314" s="1" t="n">
        <v>44923</v>
      </c>
      <c r="C314" s="1" t="n">
        <v>45259</v>
      </c>
      <c r="D314" t="inlineStr">
        <is>
          <t>VÄSTRA GÖTALANDS LÄN</t>
        </is>
      </c>
      <c r="E314" t="inlineStr">
        <is>
          <t>TÖREBODA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62521-2022</t>
        </is>
      </c>
      <c r="B315" s="1" t="n">
        <v>44924</v>
      </c>
      <c r="C315" s="1" t="n">
        <v>45259</v>
      </c>
      <c r="D315" t="inlineStr">
        <is>
          <t>VÄSTRA GÖTALANDS LÄN</t>
        </is>
      </c>
      <c r="E315" t="inlineStr">
        <is>
          <t>TÖREBODA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62542-2022</t>
        </is>
      </c>
      <c r="B316" s="1" t="n">
        <v>44924</v>
      </c>
      <c r="C316" s="1" t="n">
        <v>45259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577-2023</t>
        </is>
      </c>
      <c r="B317" s="1" t="n">
        <v>44930</v>
      </c>
      <c r="C317" s="1" t="n">
        <v>45259</v>
      </c>
      <c r="D317" t="inlineStr">
        <is>
          <t>VÄSTRA GÖTALANDS LÄN</t>
        </is>
      </c>
      <c r="E317" t="inlineStr">
        <is>
          <t>TÖREBODA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1554-2023</t>
        </is>
      </c>
      <c r="B318" s="1" t="n">
        <v>44937</v>
      </c>
      <c r="C318" s="1" t="n">
        <v>45259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1550-2023</t>
        </is>
      </c>
      <c r="B319" s="1" t="n">
        <v>44937</v>
      </c>
      <c r="C319" s="1" t="n">
        <v>45259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</v>
      </c>
      <c r="C320" s="1" t="n">
        <v>45259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4178-2023</t>
        </is>
      </c>
      <c r="B321" s="1" t="n">
        <v>44951</v>
      </c>
      <c r="C321" s="1" t="n">
        <v>45259</v>
      </c>
      <c r="D321" t="inlineStr">
        <is>
          <t>VÄSTRA GÖTALANDS LÄN</t>
        </is>
      </c>
      <c r="E321" t="inlineStr">
        <is>
          <t>TÖREBODA</t>
        </is>
      </c>
      <c r="G321" t="n">
        <v>20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4218-2023</t>
        </is>
      </c>
      <c r="B322" s="1" t="n">
        <v>44951</v>
      </c>
      <c r="C322" s="1" t="n">
        <v>45259</v>
      </c>
      <c r="D322" t="inlineStr">
        <is>
          <t>VÄSTRA GÖTALANDS LÄN</t>
        </is>
      </c>
      <c r="E322" t="inlineStr">
        <is>
          <t>TÖREBODA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4246-2023</t>
        </is>
      </c>
      <c r="B323" s="1" t="n">
        <v>44953</v>
      </c>
      <c r="C323" s="1" t="n">
        <v>45259</v>
      </c>
      <c r="D323" t="inlineStr">
        <is>
          <t>VÄSTRA GÖTALANDS LÄN</t>
        </is>
      </c>
      <c r="E323" t="inlineStr">
        <is>
          <t>TÖREBODA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</v>
      </c>
      <c r="C324" s="1" t="n">
        <v>45259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4941-2023</t>
        </is>
      </c>
      <c r="B325" s="1" t="n">
        <v>44958</v>
      </c>
      <c r="C325" s="1" t="n">
        <v>45259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6811-2023</t>
        </is>
      </c>
      <c r="B326" s="1" t="n">
        <v>44960</v>
      </c>
      <c r="C326" s="1" t="n">
        <v>45259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6162-2023</t>
        </is>
      </c>
      <c r="B327" s="1" t="n">
        <v>44964</v>
      </c>
      <c r="C327" s="1" t="n">
        <v>45259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7680-2023</t>
        </is>
      </c>
      <c r="B328" s="1" t="n">
        <v>44972</v>
      </c>
      <c r="C328" s="1" t="n">
        <v>45259</v>
      </c>
      <c r="D328" t="inlineStr">
        <is>
          <t>VÄSTRA GÖTALANDS LÄN</t>
        </is>
      </c>
      <c r="E328" t="inlineStr">
        <is>
          <t>TÖREBODA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9639-2023</t>
        </is>
      </c>
      <c r="B329" s="1" t="n">
        <v>44978</v>
      </c>
      <c r="C329" s="1" t="n">
        <v>45259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45259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9629-2023</t>
        </is>
      </c>
      <c r="B331" s="1" t="n">
        <v>44978</v>
      </c>
      <c r="C331" s="1" t="n">
        <v>45259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9655-2023</t>
        </is>
      </c>
      <c r="B332" s="1" t="n">
        <v>44978</v>
      </c>
      <c r="C332" s="1" t="n">
        <v>45259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9371-2023</t>
        </is>
      </c>
      <c r="B333" s="1" t="n">
        <v>44981</v>
      </c>
      <c r="C333" s="1" t="n">
        <v>45259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10185-2023</t>
        </is>
      </c>
      <c r="B334" s="1" t="n">
        <v>44986</v>
      </c>
      <c r="C334" s="1" t="n">
        <v>45259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10433-2023</t>
        </is>
      </c>
      <c r="B335" s="1" t="n">
        <v>44987</v>
      </c>
      <c r="C335" s="1" t="n">
        <v>45259</v>
      </c>
      <c r="D335" t="inlineStr">
        <is>
          <t>VÄSTRA GÖTALANDS LÄN</t>
        </is>
      </c>
      <c r="E335" t="inlineStr">
        <is>
          <t>TÖREBODA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10430-2023</t>
        </is>
      </c>
      <c r="B336" s="1" t="n">
        <v>44987</v>
      </c>
      <c r="C336" s="1" t="n">
        <v>45259</v>
      </c>
      <c r="D336" t="inlineStr">
        <is>
          <t>VÄSTRA GÖTALANDS LÄN</t>
        </is>
      </c>
      <c r="E336" t="inlineStr">
        <is>
          <t>TÖREBODA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10431-2023</t>
        </is>
      </c>
      <c r="B337" s="1" t="n">
        <v>44987</v>
      </c>
      <c r="C337" s="1" t="n">
        <v>45259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11159-2023</t>
        </is>
      </c>
      <c r="B338" s="1" t="n">
        <v>44987</v>
      </c>
      <c r="C338" s="1" t="n">
        <v>45259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10598-2023</t>
        </is>
      </c>
      <c r="B339" s="1" t="n">
        <v>44988</v>
      </c>
      <c r="C339" s="1" t="n">
        <v>45259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13056-2023</t>
        </is>
      </c>
      <c r="B340" s="1" t="n">
        <v>45002</v>
      </c>
      <c r="C340" s="1" t="n">
        <v>45259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13041-2023</t>
        </is>
      </c>
      <c r="B341" s="1" t="n">
        <v>45002</v>
      </c>
      <c r="C341" s="1" t="n">
        <v>45259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14322-2023</t>
        </is>
      </c>
      <c r="B342" s="1" t="n">
        <v>45012</v>
      </c>
      <c r="C342" s="1" t="n">
        <v>45259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14323-2023</t>
        </is>
      </c>
      <c r="B343" s="1" t="n">
        <v>45012</v>
      </c>
      <c r="C343" s="1" t="n">
        <v>45259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14446-2023</t>
        </is>
      </c>
      <c r="B344" s="1" t="n">
        <v>45012</v>
      </c>
      <c r="C344" s="1" t="n">
        <v>45259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15515-2023</t>
        </is>
      </c>
      <c r="B345" s="1" t="n">
        <v>45020</v>
      </c>
      <c r="C345" s="1" t="n">
        <v>45259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16551-2023</t>
        </is>
      </c>
      <c r="B346" s="1" t="n">
        <v>45029</v>
      </c>
      <c r="C346" s="1" t="n">
        <v>45259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Aktiebolag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16683-2023</t>
        </is>
      </c>
      <c r="B347" s="1" t="n">
        <v>45030</v>
      </c>
      <c r="C347" s="1" t="n">
        <v>45259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16686-2023</t>
        </is>
      </c>
      <c r="B348" s="1" t="n">
        <v>45030</v>
      </c>
      <c r="C348" s="1" t="n">
        <v>45259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18015-2023</t>
        </is>
      </c>
      <c r="B349" s="1" t="n">
        <v>45040</v>
      </c>
      <c r="C349" s="1" t="n">
        <v>45259</v>
      </c>
      <c r="D349" t="inlineStr">
        <is>
          <t>VÄSTRA GÖTALANDS LÄN</t>
        </is>
      </c>
      <c r="E349" t="inlineStr">
        <is>
          <t>TÖREBODA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18176-2023</t>
        </is>
      </c>
      <c r="B350" s="1" t="n">
        <v>45041</v>
      </c>
      <c r="C350" s="1" t="n">
        <v>45259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18175-2023</t>
        </is>
      </c>
      <c r="B351" s="1" t="n">
        <v>45041</v>
      </c>
      <c r="C351" s="1" t="n">
        <v>45259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19256-2023</t>
        </is>
      </c>
      <c r="B352" s="1" t="n">
        <v>45049</v>
      </c>
      <c r="C352" s="1" t="n">
        <v>45259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19725-2023</t>
        </is>
      </c>
      <c r="B353" s="1" t="n">
        <v>45051</v>
      </c>
      <c r="C353" s="1" t="n">
        <v>45259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19723-2023</t>
        </is>
      </c>
      <c r="B354" s="1" t="n">
        <v>45051</v>
      </c>
      <c r="C354" s="1" t="n">
        <v>45259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20391-2023</t>
        </is>
      </c>
      <c r="B355" s="1" t="n">
        <v>45056</v>
      </c>
      <c r="C355" s="1" t="n">
        <v>45259</v>
      </c>
      <c r="D355" t="inlineStr">
        <is>
          <t>VÄSTRA GÖTALANDS LÄN</t>
        </is>
      </c>
      <c r="E355" t="inlineStr">
        <is>
          <t>TÖREBODA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24381-2023</t>
        </is>
      </c>
      <c r="B356" s="1" t="n">
        <v>45076</v>
      </c>
      <c r="C356" s="1" t="n">
        <v>45259</v>
      </c>
      <c r="D356" t="inlineStr">
        <is>
          <t>VÄSTRA GÖTALANDS LÄN</t>
        </is>
      </c>
      <c r="E356" t="inlineStr">
        <is>
          <t>TÖREBODA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23651-2023</t>
        </is>
      </c>
      <c r="B357" s="1" t="n">
        <v>45077</v>
      </c>
      <c r="C357" s="1" t="n">
        <v>45259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Aktiebolag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23662-2023</t>
        </is>
      </c>
      <c r="B358" s="1" t="n">
        <v>45077</v>
      </c>
      <c r="C358" s="1" t="n">
        <v>45259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23664-2023</t>
        </is>
      </c>
      <c r="B359" s="1" t="n">
        <v>45077</v>
      </c>
      <c r="C359" s="1" t="n">
        <v>45259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24349-2023</t>
        </is>
      </c>
      <c r="B360" s="1" t="n">
        <v>45082</v>
      </c>
      <c r="C360" s="1" t="n">
        <v>45259</v>
      </c>
      <c r="D360" t="inlineStr">
        <is>
          <t>VÄSTRA GÖTALANDS LÄN</t>
        </is>
      </c>
      <c r="E360" t="inlineStr">
        <is>
          <t>TÖREBODA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24358-2023</t>
        </is>
      </c>
      <c r="B361" s="1" t="n">
        <v>45082</v>
      </c>
      <c r="C361" s="1" t="n">
        <v>45259</v>
      </c>
      <c r="D361" t="inlineStr">
        <is>
          <t>VÄSTRA GÖTALANDS LÄN</t>
        </is>
      </c>
      <c r="E361" t="inlineStr">
        <is>
          <t>TÖREBODA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24924-2023</t>
        </is>
      </c>
      <c r="B362" s="1" t="n">
        <v>45085</v>
      </c>
      <c r="C362" s="1" t="n">
        <v>45259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25410-2023</t>
        </is>
      </c>
      <c r="B363" s="1" t="n">
        <v>45089</v>
      </c>
      <c r="C363" s="1" t="n">
        <v>45259</v>
      </c>
      <c r="D363" t="inlineStr">
        <is>
          <t>VÄSTRA GÖTALANDS LÄN</t>
        </is>
      </c>
      <c r="E363" t="inlineStr">
        <is>
          <t>TÖREBODA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25424-2023</t>
        </is>
      </c>
      <c r="B364" s="1" t="n">
        <v>45089</v>
      </c>
      <c r="C364" s="1" t="n">
        <v>45259</v>
      </c>
      <c r="D364" t="inlineStr">
        <is>
          <t>VÄSTRA GÖTALANDS LÄN</t>
        </is>
      </c>
      <c r="E364" t="inlineStr">
        <is>
          <t>TÖREBODA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25426-2023</t>
        </is>
      </c>
      <c r="B365" s="1" t="n">
        <v>45089</v>
      </c>
      <c r="C365" s="1" t="n">
        <v>45259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25870-2023</t>
        </is>
      </c>
      <c r="B366" s="1" t="n">
        <v>45090</v>
      </c>
      <c r="C366" s="1" t="n">
        <v>45259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26756-2023</t>
        </is>
      </c>
      <c r="B367" s="1" t="n">
        <v>45093</v>
      </c>
      <c r="C367" s="1" t="n">
        <v>45259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27231-2023</t>
        </is>
      </c>
      <c r="B368" s="1" t="n">
        <v>45096</v>
      </c>
      <c r="C368" s="1" t="n">
        <v>45259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27251-2023</t>
        </is>
      </c>
      <c r="B369" s="1" t="n">
        <v>45096</v>
      </c>
      <c r="C369" s="1" t="n">
        <v>45259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27262-2023</t>
        </is>
      </c>
      <c r="B370" s="1" t="n">
        <v>45096</v>
      </c>
      <c r="C370" s="1" t="n">
        <v>45259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27272-2023</t>
        </is>
      </c>
      <c r="B371" s="1" t="n">
        <v>45096</v>
      </c>
      <c r="C371" s="1" t="n">
        <v>45259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27306-2023</t>
        </is>
      </c>
      <c r="B372" s="1" t="n">
        <v>45096</v>
      </c>
      <c r="C372" s="1" t="n">
        <v>45259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27298-2023</t>
        </is>
      </c>
      <c r="B373" s="1" t="n">
        <v>45096</v>
      </c>
      <c r="C373" s="1" t="n">
        <v>45259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27293-2023</t>
        </is>
      </c>
      <c r="B374" s="1" t="n">
        <v>45096</v>
      </c>
      <c r="C374" s="1" t="n">
        <v>45259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27245-2023</t>
        </is>
      </c>
      <c r="B375" s="1" t="n">
        <v>45096</v>
      </c>
      <c r="C375" s="1" t="n">
        <v>45259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27259-2023</t>
        </is>
      </c>
      <c r="B376" s="1" t="n">
        <v>45096</v>
      </c>
      <c r="C376" s="1" t="n">
        <v>45259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29217-2023</t>
        </is>
      </c>
      <c r="B377" s="1" t="n">
        <v>45097</v>
      </c>
      <c r="C377" s="1" t="n">
        <v>45259</v>
      </c>
      <c r="D377" t="inlineStr">
        <is>
          <t>VÄSTRA GÖTALANDS LÄN</t>
        </is>
      </c>
      <c r="E377" t="inlineStr">
        <is>
          <t>TÖREBODA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28044-2023</t>
        </is>
      </c>
      <c r="B378" s="1" t="n">
        <v>45099</v>
      </c>
      <c r="C378" s="1" t="n">
        <v>45259</v>
      </c>
      <c r="D378" t="inlineStr">
        <is>
          <t>VÄSTRA GÖTALANDS LÄN</t>
        </is>
      </c>
      <c r="E378" t="inlineStr">
        <is>
          <t>TÖREBODA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28042-2023</t>
        </is>
      </c>
      <c r="B379" s="1" t="n">
        <v>45099</v>
      </c>
      <c r="C379" s="1" t="n">
        <v>45259</v>
      </c>
      <c r="D379" t="inlineStr">
        <is>
          <t>VÄSTRA GÖTALANDS LÄN</t>
        </is>
      </c>
      <c r="E379" t="inlineStr">
        <is>
          <t>TÖREBODA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28050-2023</t>
        </is>
      </c>
      <c r="B380" s="1" t="n">
        <v>45099</v>
      </c>
      <c r="C380" s="1" t="n">
        <v>45259</v>
      </c>
      <c r="D380" t="inlineStr">
        <is>
          <t>VÄSTRA GÖTALANDS LÄN</t>
        </is>
      </c>
      <c r="E380" t="inlineStr">
        <is>
          <t>TÖREBODA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33276-2023</t>
        </is>
      </c>
      <c r="B381" s="1" t="n">
        <v>45127</v>
      </c>
      <c r="C381" s="1" t="n">
        <v>45259</v>
      </c>
      <c r="D381" t="inlineStr">
        <is>
          <t>VÄSTRA GÖTALANDS LÄN</t>
        </is>
      </c>
      <c r="E381" t="inlineStr">
        <is>
          <t>TÖREBODA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33725-2023</t>
        </is>
      </c>
      <c r="B382" s="1" t="n">
        <v>45133</v>
      </c>
      <c r="C382" s="1" t="n">
        <v>45259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33754-2023</t>
        </is>
      </c>
      <c r="B383" s="1" t="n">
        <v>45133</v>
      </c>
      <c r="C383" s="1" t="n">
        <v>45259</v>
      </c>
      <c r="D383" t="inlineStr">
        <is>
          <t>VÄSTRA GÖTALANDS LÄN</t>
        </is>
      </c>
      <c r="E383" t="inlineStr">
        <is>
          <t>TÖREBODA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34777-2023</t>
        </is>
      </c>
      <c r="B384" s="1" t="n">
        <v>45141</v>
      </c>
      <c r="C384" s="1" t="n">
        <v>45259</v>
      </c>
      <c r="D384" t="inlineStr">
        <is>
          <t>VÄSTRA GÖTALANDS LÄN</t>
        </is>
      </c>
      <c r="E384" t="inlineStr">
        <is>
          <t>TÖREBODA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34856-2023</t>
        </is>
      </c>
      <c r="B385" s="1" t="n">
        <v>45142</v>
      </c>
      <c r="C385" s="1" t="n">
        <v>45259</v>
      </c>
      <c r="D385" t="inlineStr">
        <is>
          <t>VÄSTRA GÖTALANDS LÄN</t>
        </is>
      </c>
      <c r="E385" t="inlineStr">
        <is>
          <t>TÖREBODA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34860-2023</t>
        </is>
      </c>
      <c r="B386" s="1" t="n">
        <v>45142</v>
      </c>
      <c r="C386" s="1" t="n">
        <v>45259</v>
      </c>
      <c r="D386" t="inlineStr">
        <is>
          <t>VÄSTRA GÖTALANDS LÄN</t>
        </is>
      </c>
      <c r="E386" t="inlineStr">
        <is>
          <t>TÖREBODA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34865-2023</t>
        </is>
      </c>
      <c r="B387" s="1" t="n">
        <v>45142</v>
      </c>
      <c r="C387" s="1" t="n">
        <v>45259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34862-2023</t>
        </is>
      </c>
      <c r="B388" s="1" t="n">
        <v>45142</v>
      </c>
      <c r="C388" s="1" t="n">
        <v>45259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34868-2023</t>
        </is>
      </c>
      <c r="B389" s="1" t="n">
        <v>45142</v>
      </c>
      <c r="C389" s="1" t="n">
        <v>45259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34861-2023</t>
        </is>
      </c>
      <c r="B390" s="1" t="n">
        <v>45142</v>
      </c>
      <c r="C390" s="1" t="n">
        <v>45259</v>
      </c>
      <c r="D390" t="inlineStr">
        <is>
          <t>VÄSTRA GÖTALANDS LÄN</t>
        </is>
      </c>
      <c r="E390" t="inlineStr">
        <is>
          <t>TÖREBODA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34866-2023</t>
        </is>
      </c>
      <c r="B391" s="1" t="n">
        <v>45142</v>
      </c>
      <c r="C391" s="1" t="n">
        <v>45259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35239-2023</t>
        </is>
      </c>
      <c r="B392" s="1" t="n">
        <v>45145</v>
      </c>
      <c r="C392" s="1" t="n">
        <v>45259</v>
      </c>
      <c r="D392" t="inlineStr">
        <is>
          <t>VÄSTRA GÖTALANDS LÄN</t>
        </is>
      </c>
      <c r="E392" t="inlineStr">
        <is>
          <t>TÖREBODA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35238-2023</t>
        </is>
      </c>
      <c r="B393" s="1" t="n">
        <v>45145</v>
      </c>
      <c r="C393" s="1" t="n">
        <v>45259</v>
      </c>
      <c r="D393" t="inlineStr">
        <is>
          <t>VÄSTRA GÖTALANDS LÄN</t>
        </is>
      </c>
      <c r="E393" t="inlineStr">
        <is>
          <t>TÖREBODA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35339-2023</t>
        </is>
      </c>
      <c r="B394" s="1" t="n">
        <v>45146</v>
      </c>
      <c r="C394" s="1" t="n">
        <v>45259</v>
      </c>
      <c r="D394" t="inlineStr">
        <is>
          <t>VÄSTRA GÖTALANDS LÄN</t>
        </is>
      </c>
      <c r="E394" t="inlineStr">
        <is>
          <t>TÖREBODA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35336-2023</t>
        </is>
      </c>
      <c r="B395" s="1" t="n">
        <v>45146</v>
      </c>
      <c r="C395" s="1" t="n">
        <v>45259</v>
      </c>
      <c r="D395" t="inlineStr">
        <is>
          <t>VÄSTRA GÖTALANDS LÄN</t>
        </is>
      </c>
      <c r="E395" t="inlineStr">
        <is>
          <t>TÖREBODA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35347-2023</t>
        </is>
      </c>
      <c r="B396" s="1" t="n">
        <v>45146</v>
      </c>
      <c r="C396" s="1" t="n">
        <v>45259</v>
      </c>
      <c r="D396" t="inlineStr">
        <is>
          <t>VÄSTRA GÖTALANDS LÄN</t>
        </is>
      </c>
      <c r="E396" t="inlineStr">
        <is>
          <t>TÖREBODA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35398-2023</t>
        </is>
      </c>
      <c r="B397" s="1" t="n">
        <v>45146</v>
      </c>
      <c r="C397" s="1" t="n">
        <v>45259</v>
      </c>
      <c r="D397" t="inlineStr">
        <is>
          <t>VÄSTRA GÖTALANDS LÄN</t>
        </is>
      </c>
      <c r="E397" t="inlineStr">
        <is>
          <t>TÖREBODA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37001-2023</t>
        </is>
      </c>
      <c r="B398" s="1" t="n">
        <v>45155</v>
      </c>
      <c r="C398" s="1" t="n">
        <v>45259</v>
      </c>
      <c r="D398" t="inlineStr">
        <is>
          <t>VÄSTRA GÖTALANDS LÄN</t>
        </is>
      </c>
      <c r="E398" t="inlineStr">
        <is>
          <t>TÖREBODA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37837-2023</t>
        </is>
      </c>
      <c r="B399" s="1" t="n">
        <v>45156</v>
      </c>
      <c r="C399" s="1" t="n">
        <v>45259</v>
      </c>
      <c r="D399" t="inlineStr">
        <is>
          <t>VÄSTRA GÖTALANDS LÄN</t>
        </is>
      </c>
      <c r="E399" t="inlineStr">
        <is>
          <t>TÖREBODA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37339-2023</t>
        </is>
      </c>
      <c r="B400" s="1" t="n">
        <v>45156</v>
      </c>
      <c r="C400" s="1" t="n">
        <v>45259</v>
      </c>
      <c r="D400" t="inlineStr">
        <is>
          <t>VÄSTRA GÖTALANDS LÄN</t>
        </is>
      </c>
      <c r="E400" t="inlineStr">
        <is>
          <t>TÖREBODA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37668-2023</t>
        </is>
      </c>
      <c r="B401" s="1" t="n">
        <v>45159</v>
      </c>
      <c r="C401" s="1" t="n">
        <v>45259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37944-2023</t>
        </is>
      </c>
      <c r="B402" s="1" t="n">
        <v>45160</v>
      </c>
      <c r="C402" s="1" t="n">
        <v>45259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39189-2023</t>
        </is>
      </c>
      <c r="B403" s="1" t="n">
        <v>45166</v>
      </c>
      <c r="C403" s="1" t="n">
        <v>45259</v>
      </c>
      <c r="D403" t="inlineStr">
        <is>
          <t>VÄSTRA GÖTALANDS LÄN</t>
        </is>
      </c>
      <c r="E403" t="inlineStr">
        <is>
          <t>TÖREBODA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39199-2023</t>
        </is>
      </c>
      <c r="B404" s="1" t="n">
        <v>45166</v>
      </c>
      <c r="C404" s="1" t="n">
        <v>45259</v>
      </c>
      <c r="D404" t="inlineStr">
        <is>
          <t>VÄSTRA GÖTALANDS LÄN</t>
        </is>
      </c>
      <c r="E404" t="inlineStr">
        <is>
          <t>TÖREBODA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39894-2023</t>
        </is>
      </c>
      <c r="B405" s="1" t="n">
        <v>45166</v>
      </c>
      <c r="C405" s="1" t="n">
        <v>45259</v>
      </c>
      <c r="D405" t="inlineStr">
        <is>
          <t>VÄSTRA GÖTALANDS LÄN</t>
        </is>
      </c>
      <c r="E405" t="inlineStr">
        <is>
          <t>TÖREBODA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39575-2023</t>
        </is>
      </c>
      <c r="B406" s="1" t="n">
        <v>45167</v>
      </c>
      <c r="C406" s="1" t="n">
        <v>45259</v>
      </c>
      <c r="D406" t="inlineStr">
        <is>
          <t>VÄSTRA GÖTALANDS LÄN</t>
        </is>
      </c>
      <c r="E406" t="inlineStr">
        <is>
          <t>TÖREBODA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39576-2023</t>
        </is>
      </c>
      <c r="B407" s="1" t="n">
        <v>45167</v>
      </c>
      <c r="C407" s="1" t="n">
        <v>45259</v>
      </c>
      <c r="D407" t="inlineStr">
        <is>
          <t>VÄSTRA GÖTALANDS LÄN</t>
        </is>
      </c>
      <c r="E407" t="inlineStr">
        <is>
          <t>TÖREBODA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43582-2023</t>
        </is>
      </c>
      <c r="B408" s="1" t="n">
        <v>45181</v>
      </c>
      <c r="C408" s="1" t="n">
        <v>45259</v>
      </c>
      <c r="D408" t="inlineStr">
        <is>
          <t>VÄSTRA GÖTALANDS LÄN</t>
        </is>
      </c>
      <c r="E408" t="inlineStr">
        <is>
          <t>TÖREBODA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44067-2023</t>
        </is>
      </c>
      <c r="B409" s="1" t="n">
        <v>45188</v>
      </c>
      <c r="C409" s="1" t="n">
        <v>45259</v>
      </c>
      <c r="D409" t="inlineStr">
        <is>
          <t>VÄSTRA GÖTALANDS LÄN</t>
        </is>
      </c>
      <c r="E409" t="inlineStr">
        <is>
          <t>TÖREBODA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44489-2023</t>
        </is>
      </c>
      <c r="B410" s="1" t="n">
        <v>45189</v>
      </c>
      <c r="C410" s="1" t="n">
        <v>45259</v>
      </c>
      <c r="D410" t="inlineStr">
        <is>
          <t>VÄSTRA GÖTALANDS LÄN</t>
        </is>
      </c>
      <c r="E410" t="inlineStr">
        <is>
          <t>TÖREBODA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44518-2023</t>
        </is>
      </c>
      <c r="B411" s="1" t="n">
        <v>45189</v>
      </c>
      <c r="C411" s="1" t="n">
        <v>45259</v>
      </c>
      <c r="D411" t="inlineStr">
        <is>
          <t>VÄSTRA GÖTALANDS LÄN</t>
        </is>
      </c>
      <c r="E411" t="inlineStr">
        <is>
          <t>TÖREBODA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44771-2023</t>
        </is>
      </c>
      <c r="B412" s="1" t="n">
        <v>45190</v>
      </c>
      <c r="C412" s="1" t="n">
        <v>45259</v>
      </c>
      <c r="D412" t="inlineStr">
        <is>
          <t>VÄSTRA GÖTALANDS LÄN</t>
        </is>
      </c>
      <c r="E412" t="inlineStr">
        <is>
          <t>TÖREBODA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45161-2023</t>
        </is>
      </c>
      <c r="B413" s="1" t="n">
        <v>45191</v>
      </c>
      <c r="C413" s="1" t="n">
        <v>45259</v>
      </c>
      <c r="D413" t="inlineStr">
        <is>
          <t>VÄSTRA GÖTALANDS LÄN</t>
        </is>
      </c>
      <c r="E413" t="inlineStr">
        <is>
          <t>TÖREBODA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45158-2023</t>
        </is>
      </c>
      <c r="B414" s="1" t="n">
        <v>45191</v>
      </c>
      <c r="C414" s="1" t="n">
        <v>45259</v>
      </c>
      <c r="D414" t="inlineStr">
        <is>
          <t>VÄSTRA GÖTALANDS LÄN</t>
        </is>
      </c>
      <c r="E414" t="inlineStr">
        <is>
          <t>TÖREBODA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45259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45259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45259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45259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45259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45259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45259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45259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45259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45259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45259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45259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45259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45259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45259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45259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45259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45259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45259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45259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53789-2023</t>
        </is>
      </c>
      <c r="B435" s="1" t="n">
        <v>45231</v>
      </c>
      <c r="C435" s="1" t="n">
        <v>45259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53776-2023</t>
        </is>
      </c>
      <c r="B436" s="1" t="n">
        <v>45231</v>
      </c>
      <c r="C436" s="1" t="n">
        <v>45259</v>
      </c>
      <c r="D436" t="inlineStr">
        <is>
          <t>VÄSTRA GÖTALANDS LÄN</t>
        </is>
      </c>
      <c r="E436" t="inlineStr">
        <is>
          <t>TÖREBODA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53788-2023</t>
        </is>
      </c>
      <c r="B437" s="1" t="n">
        <v>45231</v>
      </c>
      <c r="C437" s="1" t="n">
        <v>45259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53791-2023</t>
        </is>
      </c>
      <c r="B438" s="1" t="n">
        <v>45231</v>
      </c>
      <c r="C438" s="1" t="n">
        <v>45259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53964-2023</t>
        </is>
      </c>
      <c r="B439" s="1" t="n">
        <v>45231</v>
      </c>
      <c r="C439" s="1" t="n">
        <v>45259</v>
      </c>
      <c r="D439" t="inlineStr">
        <is>
          <t>VÄSTRA GÖTALANDS LÄN</t>
        </is>
      </c>
      <c r="E439" t="inlineStr">
        <is>
          <t>TÖREBODA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53965-2023</t>
        </is>
      </c>
      <c r="B440" s="1" t="n">
        <v>45231</v>
      </c>
      <c r="C440" s="1" t="n">
        <v>45259</v>
      </c>
      <c r="D440" t="inlineStr">
        <is>
          <t>VÄSTRA GÖTALANDS LÄN</t>
        </is>
      </c>
      <c r="E440" t="inlineStr">
        <is>
          <t>TÖREBODA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53970-2023</t>
        </is>
      </c>
      <c r="B441" s="1" t="n">
        <v>45231</v>
      </c>
      <c r="C441" s="1" t="n">
        <v>45259</v>
      </c>
      <c r="D441" t="inlineStr">
        <is>
          <t>VÄSTRA GÖTALANDS LÄN</t>
        </is>
      </c>
      <c r="E441" t="inlineStr">
        <is>
          <t>TÖREBODA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54459-2023</t>
        </is>
      </c>
      <c r="B442" s="1" t="n">
        <v>45233</v>
      </c>
      <c r="C442" s="1" t="n">
        <v>45259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54456-2023</t>
        </is>
      </c>
      <c r="B443" s="1" t="n">
        <v>45233</v>
      </c>
      <c r="C443" s="1" t="n">
        <v>45259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45259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45259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45259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45259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45259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45259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57670-2023</t>
        </is>
      </c>
      <c r="B450" s="1" t="n">
        <v>45246</v>
      </c>
      <c r="C450" s="1" t="n">
        <v>45259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2023-11-29T09:47:19Z</dcterms:created>
  <dcterms:modified xmlns:dcterms="http://purl.org/dc/terms/" xmlns:xsi="http://www.w3.org/2001/XMLSchema-instance" xsi:type="dcterms:W3CDTF">2023-11-29T09:47:20Z</dcterms:modified>
</cp:coreProperties>
</file>