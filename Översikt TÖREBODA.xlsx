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39432-2026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46318</v>
      </c>
      <c r="F4" t="inlineStr">
        <is>
          <t>VÄSTRA GÖTALANDS LÄN</t>
        </is>
      </c>
      <c r="G4" t="inlineStr">
        <is>
          <t>TÖREBODA</t>
        </is>
      </c>
      <c r="H4" t="inlineStr">
        <is>
          <t>Sveaskog</t>
        </is>
      </c>
      <c r="I4" t="n">
        <v>2.3</v>
      </c>
      <c r="J4" t="n">
        <v>5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Entita
Järnsparv
Rödvingetrast
Rörsångare
Grönsiska</t>
        </is>
      </c>
      <c r="W4">
        <f>HYPERLINK("https://klasma.github.io/Logging_1473/artfynd/A 39432-2026 artfynd.xlsx", "A 39432-2026")</f>
        <v/>
      </c>
      <c r="X4">
        <f>HYPERLINK("https://klasma.github.io/Logging_1473/kartor/A 39432-2026 karta.png", "A 39432-2026")</f>
        <v/>
      </c>
      <c r="Y4">
        <f>HYPERLINK("https://klasma.github.io/Logging_1473/kartor_geotiff/A 39432-2026 georefererad karta.tif", "A 39432-2026")</f>
        <v/>
      </c>
      <c r="AA4">
        <f>HYPERLINK("https://klasma.github.io/Logging_1473/klagomål/A 39432-2026 FSC-klagomål.docx", "A 39432-2026")</f>
        <v/>
      </c>
      <c r="AB4">
        <f>HYPERLINK("https://klasma.github.io/Logging_1473/klagomålsmail/A 39432-2026 FSC-klagomål mail.docx", "A 39432-2026")</f>
        <v/>
      </c>
      <c r="AC4">
        <f>HYPERLINK("https://klasma.github.io/Logging_1473/tillsyn/A 39432-2026 tillsynsbegäran.docx", "A 39432-2026")</f>
        <v/>
      </c>
      <c r="AD4">
        <f>HYPERLINK("https://klasma.github.io/Logging_1473/tillsynsmail/A 39432-2026 tillsynsbegäran mail.docx", "A 39432-2026")</f>
        <v/>
      </c>
      <c r="AE4">
        <f>HYPERLINK("https://klasma.github.io/Logging_1473/fåglar/A 39432-2026 prioriterade fågelarter.docx", "A 39432-2026")</f>
        <v/>
      </c>
    </row>
    <row r="5" ht="15" customHeight="1">
      <c r="A5" t="inlineStr">
        <is>
          <t>A 45158-2023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45191</v>
      </c>
      <c r="E5" s="1" t="n">
        <v>46318</v>
      </c>
      <c r="F5" t="inlineStr">
        <is>
          <t>VÄSTRA GÖTALANDS LÄN</t>
        </is>
      </c>
      <c r="G5" t="inlineStr">
        <is>
          <t>TÖREBODA</t>
        </is>
      </c>
      <c r="I5" t="n">
        <v>2.8</v>
      </c>
      <c r="J5" t="n">
        <v>3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6</v>
      </c>
      <c r="V5" s="2" t="inlineStr">
        <is>
          <t>Knärot
Dropptaggsvamp
Blomkålssvamp
Mattlummer
Spillkråka</t>
        </is>
      </c>
      <c r="W5">
        <f>HYPERLINK("https://klasma.github.io/Logging_1473/artfynd/A 45158-2023 artfynd.xlsx", "A 45158-2023")</f>
        <v/>
      </c>
      <c r="X5">
        <f>HYPERLINK("https://klasma.github.io/Logging_1473/kartor/A 45158-2023 karta.png", "A 45158-2023")</f>
        <v/>
      </c>
      <c r="Y5">
        <f>HYPERLINK("https://klasma.github.io/Logging_1473/kartor_geotiff/A 45158-2023 georefererad karta.tif", "A 45158-2023")</f>
        <v/>
      </c>
      <c r="Z5">
        <f>HYPERLINK("https://klasma.github.io/Logging_1473/knärot/A 45158-2023 karta knärot.png", "A 45158-2023")</f>
        <v/>
      </c>
      <c r="AA5">
        <f>HYPERLINK("https://klasma.github.io/Logging_1473/klagomål/A 45158-2023 FSC-klagomål.docx", "A 45158-2023")</f>
        <v/>
      </c>
      <c r="AB5">
        <f>HYPERLINK("https://klasma.github.io/Logging_1473/klagomålsmail/A 45158-2023 FSC-klagomål mail.docx", "A 45158-2023")</f>
        <v/>
      </c>
      <c r="AC5">
        <f>HYPERLINK("https://klasma.github.io/Logging_1473/tillsyn/A 45158-2023 tillsynsbegäran.docx", "A 45158-2023")</f>
        <v/>
      </c>
      <c r="AD5">
        <f>HYPERLINK("https://klasma.github.io/Logging_1473/tillsynsmail/A 45158-2023 tillsynsbegäran mail.docx", "A 45158-2023")</f>
        <v/>
      </c>
      <c r="AE5">
        <f>HYPERLINK("https://klasma.github.io/Logging_1473/fåglar/A 45158-2023 prioriterade fågelarter.docx", "A 45158-2023")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46318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46318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46318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46318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46318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46318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46318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46318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46318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46318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46318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46318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61281-2023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46318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Kyrkan</t>
        </is>
      </c>
      <c r="I18" t="n">
        <v>20.8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Talltita
Vanlig snok</t>
        </is>
      </c>
      <c r="W18">
        <f>HYPERLINK("https://klasma.github.io/Logging_1473/artfynd/A 61281-2023 artfynd.xlsx", "A 61281-2023")</f>
        <v/>
      </c>
      <c r="X18">
        <f>HYPERLINK("https://klasma.github.io/Logging_1473/kartor/A 61281-2023 karta.png", "A 61281-2023")</f>
        <v/>
      </c>
      <c r="Y18">
        <f>HYPERLINK("https://klasma.github.io/Logging_1473/kartor_geotiff/A 61281-2023 georefererad karta.tif", "A 61281-2023")</f>
        <v/>
      </c>
      <c r="AA18">
        <f>HYPERLINK("https://klasma.github.io/Logging_1473/klagomål/A 61281-2023 FSC-klagomål.docx", "A 61281-2023")</f>
        <v/>
      </c>
      <c r="AB18">
        <f>HYPERLINK("https://klasma.github.io/Logging_1473/klagomålsmail/A 61281-2023 FSC-klagomål mail.docx", "A 61281-2023")</f>
        <v/>
      </c>
      <c r="AC18">
        <f>HYPERLINK("https://klasma.github.io/Logging_1473/tillsyn/A 61281-2023 tillsynsbegäran.docx", "A 61281-2023")</f>
        <v/>
      </c>
      <c r="AD18">
        <f>HYPERLINK("https://klasma.github.io/Logging_1473/tillsynsmail/A 61281-2023 tillsynsbegäran mail.docx", "A 61281-2023")</f>
        <v/>
      </c>
      <c r="AE18">
        <f>HYPERLINK("https://klasma.github.io/Logging_1473/fåglar/A 61281-2023 prioriterade fågelarter.docx", "A 61281-2023")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46318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46318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9985-2023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44985</v>
      </c>
      <c r="E21" s="1" t="n">
        <v>46318</v>
      </c>
      <c r="F21" t="inlineStr">
        <is>
          <t>VÄSTRA GÖTALANDS LÄN</t>
        </is>
      </c>
      <c r="G21" t="inlineStr">
        <is>
          <t>TÖREBODA</t>
        </is>
      </c>
      <c r="I21" t="n">
        <v>5.5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HYPERLINK("https://klasma.github.io/Logging_1473/artfynd/A 9985-2023 artfynd.xlsx", "A 9985-2023")</f>
        <v/>
      </c>
      <c r="X21">
        <f>HYPERLINK("https://klasma.github.io/Logging_1473/kartor/A 9985-2023 karta.png", "A 9985-2023")</f>
        <v/>
      </c>
      <c r="Y21">
        <f>HYPERLINK("https://klasma.github.io/Logging_1473/kartor_geotiff/A 9985-2023 georefererad karta.tif", "A 9985-2023")</f>
        <v/>
      </c>
      <c r="AA21">
        <f>HYPERLINK("https://klasma.github.io/Logging_1473/klagomål/A 9985-2023 FSC-klagomål.docx", "A 9985-2023")</f>
        <v/>
      </c>
      <c r="AB21">
        <f>HYPERLINK("https://klasma.github.io/Logging_1473/klagomålsmail/A 9985-2023 FSC-klagomål mail.docx", "A 9985-2023")</f>
        <v/>
      </c>
      <c r="AC21">
        <f>HYPERLINK("https://klasma.github.io/Logging_1473/tillsyn/A 9985-2023 tillsynsbegäran.docx", "A 9985-2023")</f>
        <v/>
      </c>
      <c r="AD21">
        <f>HYPERLINK("https://klasma.github.io/Logging_1473/tillsynsmail/A 9985-2023 tillsynsbegäran mail.docx", "A 9985-2023")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46318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46318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46318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7772-2022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46318</v>
      </c>
      <c r="F25" t="inlineStr">
        <is>
          <t>VÄSTRA GÖTALANDS LÄN</t>
        </is>
      </c>
      <c r="G25" t="inlineStr">
        <is>
          <t>TÖREBODA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Revlummer</t>
        </is>
      </c>
      <c r="W25">
        <f>HYPERLINK("https://klasma.github.io/Logging_1473/artfynd/A 7772-2022 artfynd.xlsx", "A 7772-2022")</f>
        <v/>
      </c>
      <c r="X25">
        <f>HYPERLINK("https://klasma.github.io/Logging_1473/kartor/A 7772-2022 karta.png", "A 7772-2022")</f>
        <v/>
      </c>
      <c r="Y25">
        <f>HYPERLINK("https://klasma.github.io/Logging_1473/kartor_geotiff/A 7772-2022 georefererad karta.tif", "A 7772-2022")</f>
        <v/>
      </c>
      <c r="AA25">
        <f>HYPERLINK("https://klasma.github.io/Logging_1473/klagomål/A 7772-2022 FSC-klagomål.docx", "A 7772-2022")</f>
        <v/>
      </c>
      <c r="AB25">
        <f>HYPERLINK("https://klasma.github.io/Logging_1473/klagomålsmail/A 7772-2022 FSC-klagomål mail.docx", "A 7772-2022")</f>
        <v/>
      </c>
      <c r="AC25">
        <f>HYPERLINK("https://klasma.github.io/Logging_1473/tillsyn/A 7772-2022 tillsynsbegäran.docx", "A 7772-2022")</f>
        <v/>
      </c>
      <c r="AD25">
        <f>HYPERLINK("https://klasma.github.io/Logging_1473/tillsynsmail/A 7772-2022 tillsynsbegäran mail.docx", "A 7772-2022")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46318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12168-2025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46318</v>
      </c>
      <c r="F27" t="inlineStr">
        <is>
          <t>VÄSTRA GÖTALANDS LÄN</t>
        </is>
      </c>
      <c r="G27" t="inlineStr">
        <is>
          <t>TÖREBODA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HYPERLINK("https://klasma.github.io/Logging_1473/artfynd/A 12168-2025 artfynd.xlsx", "A 12168-2025")</f>
        <v/>
      </c>
      <c r="X27">
        <f>HYPERLINK("https://klasma.github.io/Logging_1473/kartor/A 12168-2025 karta.png", "A 12168-2025")</f>
        <v/>
      </c>
      <c r="Y27">
        <f>HYPERLINK("https://klasma.github.io/Logging_1473/kartor_geotiff/A 12168-2025 georefererad karta.tif", "A 12168-2025")</f>
        <v/>
      </c>
      <c r="AA27">
        <f>HYPERLINK("https://klasma.github.io/Logging_1473/klagomål/A 12168-2025 FSC-klagomål.docx", "A 12168-2025")</f>
        <v/>
      </c>
      <c r="AB27">
        <f>HYPERLINK("https://klasma.github.io/Logging_1473/klagomålsmail/A 12168-2025 FSC-klagomål mail.docx", "A 12168-2025")</f>
        <v/>
      </c>
      <c r="AC27">
        <f>HYPERLINK("https://klasma.github.io/Logging_1473/tillsyn/A 12168-2025 tillsynsbegäran.docx", "A 12168-2025")</f>
        <v/>
      </c>
      <c r="AD27">
        <f>HYPERLINK("https://klasma.github.io/Logging_1473/tillsynsmail/A 12168-2025 tillsynsbegäran mail.docx", "A 12168-2025")</f>
        <v/>
      </c>
      <c r="AE27">
        <f>HYPERLINK("https://klasma.github.io/Logging_1473/fåglar/A 12168-2025 prioriterade fågelarter.docx", "A 12168-2025")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46318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HYPERLINK("https://klasma.github.io/Logging_1473/artfynd/A 55174-2024 artfynd.xlsx", "A 55174-2024")</f>
        <v/>
      </c>
      <c r="X28">
        <f>HYPERLINK("https://klasma.github.io/Logging_1473/kartor/A 55174-2024 karta.png", "A 55174-2024")</f>
        <v/>
      </c>
      <c r="Y28">
        <f>HYPERLINK("https://klasma.github.io/Logging_1473/kartor_geotiff/A 55174-2024 georefererad karta.tif", "A 55174-2024")</f>
        <v/>
      </c>
      <c r="AA28">
        <f>HYPERLINK("https://klasma.github.io/Logging_1473/klagomål/A 55174-2024 FSC-klagomål.docx", "A 55174-2024")</f>
        <v/>
      </c>
      <c r="AB28">
        <f>HYPERLINK("https://klasma.github.io/Logging_1473/klagomålsmail/A 55174-2024 FSC-klagomål mail.docx", "A 55174-2024")</f>
        <v/>
      </c>
      <c r="AC28">
        <f>HYPERLINK("https://klasma.github.io/Logging_1473/tillsyn/A 55174-2024 tillsynsbegäran.docx", "A 55174-2024")</f>
        <v/>
      </c>
      <c r="AD28">
        <f>HYPERLINK("https://klasma.github.io/Logging_1473/tillsynsmail/A 55174-2024 tillsynsbegäran mail.docx", "A 55174-2024")</f>
        <v/>
      </c>
    </row>
    <row r="29" ht="15" customHeight="1">
      <c r="A29" t="inlineStr">
        <is>
          <t>A 37240-2026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46318</v>
      </c>
      <c r="F29" t="inlineStr">
        <is>
          <t>VÄSTRA GÖTALANDS LÄN</t>
        </is>
      </c>
      <c r="G29" t="inlineStr">
        <is>
          <t>TÖREBODA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HYPERLINK("https://klasma.github.io/Logging_1473/artfynd/A 37240-2026 artfynd.xlsx", "A 37240-2026")</f>
        <v/>
      </c>
      <c r="X29">
        <f>HYPERLINK("https://klasma.github.io/Logging_1473/kartor/A 37240-2026 karta.png", "A 37240-2026")</f>
        <v/>
      </c>
      <c r="Y29">
        <f>HYPERLINK("https://klasma.github.io/Logging_1473/kartor_geotiff/A 37240-2026 georefererad karta.tif", "A 37240-2026")</f>
        <v/>
      </c>
      <c r="AA29">
        <f>HYPERLINK("https://klasma.github.io/Logging_1473/klagomål/A 37240-2026 FSC-klagomål.docx", "A 37240-2026")</f>
        <v/>
      </c>
      <c r="AB29">
        <f>HYPERLINK("https://klasma.github.io/Logging_1473/klagomålsmail/A 37240-2026 FSC-klagomål mail.docx", "A 37240-2026")</f>
        <v/>
      </c>
      <c r="AC29">
        <f>HYPERLINK("https://klasma.github.io/Logging_1473/tillsyn/A 37240-2026 tillsynsbegäran.docx", "A 37240-2026")</f>
        <v/>
      </c>
      <c r="AD29">
        <f>HYPERLINK("https://klasma.github.io/Logging_1473/tillsynsmail/A 37240-2026 tillsynsbegäran mail.docx", "A 37240-2026")</f>
        <v/>
      </c>
    </row>
    <row r="30" ht="15" customHeight="1">
      <c r="A30" t="inlineStr">
        <is>
          <t>A 43755-2026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46316</v>
      </c>
      <c r="E30" s="1" t="n">
        <v>46318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Övriga statliga verk och myndigheter</t>
        </is>
      </c>
      <c r="I30" t="n">
        <v>2.8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Nordfladdermus</t>
        </is>
      </c>
      <c r="W30">
        <f>HYPERLINK("https://klasma.github.io/Logging_1473/artfynd/A 43755-2026 artfynd.xlsx", "A 43755-2026")</f>
        <v/>
      </c>
      <c r="X30">
        <f>HYPERLINK("https://klasma.github.io/Logging_1473/kartor/A 43755-2026 karta.png", "A 43755-2026")</f>
        <v/>
      </c>
      <c r="Y30">
        <f>HYPERLINK("https://klasma.github.io/Logging_1473/kartor_geotiff/A 43755-2026 georefererad karta.tif", "A 43755-2026")</f>
        <v/>
      </c>
      <c r="AA30">
        <f>HYPERLINK("https://klasma.github.io/Logging_1473/klagomål/A 43755-2026 FSC-klagomål.docx", "A 43755-2026")</f>
        <v/>
      </c>
      <c r="AB30">
        <f>HYPERLINK("https://klasma.github.io/Logging_1473/klagomålsmail/A 43755-2026 FSC-klagomål mail.docx", "A 43755-2026")</f>
        <v/>
      </c>
      <c r="AC30">
        <f>HYPERLINK("https://klasma.github.io/Logging_1473/tillsyn/A 43755-2026 tillsynsbegäran.docx", "A 43755-2026")</f>
        <v/>
      </c>
      <c r="AD30">
        <f>HYPERLINK("https://klasma.github.io/Logging_1473/tillsynsmail/A 43755-2026 tillsynsbegäran mail.docx", "A 43755-2026")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46318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A 1591-2023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46318</v>
      </c>
      <c r="F32" t="inlineStr">
        <is>
          <t>VÄSTRA GÖTALANDS LÄN</t>
        </is>
      </c>
      <c r="G32" t="inlineStr">
        <is>
          <t>TÖREBODA</t>
        </is>
      </c>
      <c r="I32" t="n">
        <v>10.1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Grantaggsvamp</t>
        </is>
      </c>
      <c r="W32">
        <f>HYPERLINK("https://klasma.github.io/Logging_1473/artfynd/A 1591-2023 artfynd.xlsx", "A 1591-2023")</f>
        <v/>
      </c>
      <c r="X32">
        <f>HYPERLINK("https://klasma.github.io/Logging_1473/kartor/A 1591-2023 karta.png", "A 1591-2023")</f>
        <v/>
      </c>
      <c r="Y32">
        <f>HYPERLINK("https://klasma.github.io/Logging_1473/kartor_geotiff/A 1591-2023 georefererad karta.tif", "A 1591-2023")</f>
        <v/>
      </c>
      <c r="AA32">
        <f>HYPERLINK("https://klasma.github.io/Logging_1473/klagomål/A 1591-2023 FSC-klagomål.docx", "A 1591-2023")</f>
        <v/>
      </c>
      <c r="AB32">
        <f>HYPERLINK("https://klasma.github.io/Logging_1473/klagomålsmail/A 1591-2023 FSC-klagomål mail.docx", "A 1591-2023")</f>
        <v/>
      </c>
      <c r="AC32">
        <f>HYPERLINK("https://klasma.github.io/Logging_1473/tillsyn/A 1591-2023 tillsynsbegäran.docx", "A 1591-2023")</f>
        <v/>
      </c>
      <c r="AD32">
        <f>HYPERLINK("https://klasma.github.io/Logging_1473/tillsynsmail/A 1591-2023 tillsynsbegäran mail.docx", "A 1591-2023")</f>
        <v/>
      </c>
    </row>
    <row r="33" ht="15" customHeight="1">
      <c r="A33" t="inlineStr">
        <is>
          <t>A 6160-2023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44964</v>
      </c>
      <c r="E33" s="1" t="n">
        <v>46318</v>
      </c>
      <c r="F33" t="inlineStr">
        <is>
          <t>VÄSTRA GÖTALANDS LÄN</t>
        </is>
      </c>
      <c r="G33" t="inlineStr">
        <is>
          <t>TÖREBODA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Havsörn</t>
        </is>
      </c>
      <c r="W33">
        <f>HYPERLINK("https://klasma.github.io/Logging_1473/artfynd/A 6160-2023 artfynd.xlsx", "A 6160-2023")</f>
        <v/>
      </c>
      <c r="X33">
        <f>HYPERLINK("https://klasma.github.io/Logging_1473/kartor/A 6160-2023 karta.png", "A 6160-2023")</f>
        <v/>
      </c>
      <c r="Y33">
        <f>HYPERLINK("https://klasma.github.io/Logging_1473/kartor_geotiff/A 6160-2023 georefererad karta.tif", "A 6160-2023")</f>
        <v/>
      </c>
      <c r="AA33">
        <f>HYPERLINK("https://klasma.github.io/Logging_1473/klagomål/A 6160-2023 FSC-klagomål.docx", "A 6160-2023")</f>
        <v/>
      </c>
      <c r="AB33">
        <f>HYPERLINK("https://klasma.github.io/Logging_1473/klagomålsmail/A 6160-2023 FSC-klagomål mail.docx", "A 6160-2023")</f>
        <v/>
      </c>
      <c r="AC33">
        <f>HYPERLINK("https://klasma.github.io/Logging_1473/tillsyn/A 6160-2023 tillsynsbegäran.docx", "A 6160-2023")</f>
        <v/>
      </c>
      <c r="AD33">
        <f>HYPERLINK("https://klasma.github.io/Logging_1473/tillsynsmail/A 6160-2023 tillsynsbegäran mail.docx", "A 6160-2023")</f>
        <v/>
      </c>
      <c r="AE33">
        <f>HYPERLINK("https://klasma.github.io/Logging_1473/fåglar/A 6160-2023 prioriterade fågelarter.docx", "A 6160-2023")</f>
        <v/>
      </c>
    </row>
    <row r="34" ht="15" customHeight="1">
      <c r="A34" t="inlineStr">
        <is>
          <t>A 8266-2022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46318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Sveaskog</t>
        </is>
      </c>
      <c r="I34" t="n">
        <v>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Dofttaggsvamp</t>
        </is>
      </c>
      <c r="W34">
        <f>HYPERLINK("https://klasma.github.io/Logging_1473/artfynd/A 8266-2022 artfynd.xlsx", "A 8266-2022")</f>
        <v/>
      </c>
      <c r="X34">
        <f>HYPERLINK("https://klasma.github.io/Logging_1473/kartor/A 8266-2022 karta.png", "A 8266-2022")</f>
        <v/>
      </c>
      <c r="Y34">
        <f>HYPERLINK("https://klasma.github.io/Logging_1473/kartor_geotiff/A 8266-2022 georefererad karta.tif", "A 8266-2022")</f>
        <v/>
      </c>
      <c r="AA34">
        <f>HYPERLINK("https://klasma.github.io/Logging_1473/klagomål/A 8266-2022 FSC-klagomål.docx", "A 8266-2022")</f>
        <v/>
      </c>
      <c r="AB34">
        <f>HYPERLINK("https://klasma.github.io/Logging_1473/klagomålsmail/A 8266-2022 FSC-klagomål mail.docx", "A 8266-2022")</f>
        <v/>
      </c>
      <c r="AC34">
        <f>HYPERLINK("https://klasma.github.io/Logging_1473/tillsyn/A 8266-2022 tillsynsbegäran.docx", "A 8266-2022")</f>
        <v/>
      </c>
      <c r="AD34">
        <f>HYPERLINK("https://klasma.github.io/Logging_1473/tillsynsmail/A 8266-2022 tillsynsbegäran mail.docx", "A 8266-2022")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46318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S 2401-2022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44690</v>
      </c>
      <c r="E36" s="1" t="n">
        <v>46318</v>
      </c>
      <c r="F36" t="inlineStr">
        <is>
          <t>VÄSTRA GÖTALANDS LÄN</t>
        </is>
      </c>
      <c r="G36" t="inlineStr">
        <is>
          <t>TÖREBODA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Ask</t>
        </is>
      </c>
      <c r="W36">
        <f>HYPERLINK("https://klasma.github.io/Logging_1473/artfynd/S 2401-2022 artfynd.xlsx", "S 2401-2022")</f>
        <v/>
      </c>
      <c r="X36">
        <f>HYPERLINK("https://klasma.github.io/Logging_1473/kartor/S 2401-2022 karta.png", "S 2401-2022")</f>
        <v/>
      </c>
      <c r="Y36">
        <f>HYPERLINK("https://klasma.github.io/Logging_1473/kartor_geotiff/S 2401-2022 georefererad karta.tif", "S 2401-2022")</f>
        <v/>
      </c>
      <c r="AA36">
        <f>HYPERLINK("https://klasma.github.io/Logging_1473/klagomål/S 2401-2022 FSC-klagomål.docx", "S 2401-2022")</f>
        <v/>
      </c>
      <c r="AB36">
        <f>HYPERLINK("https://klasma.github.io/Logging_1473/klagomålsmail/S 2401-2022 FSC-klagomål mail.docx", "S 2401-2022")</f>
        <v/>
      </c>
      <c r="AC36">
        <f>HYPERLINK("https://klasma.github.io/Logging_1473/tillsyn/S 2401-2022 tillsynsbegäran.docx", "S 2401-2022")</f>
        <v/>
      </c>
      <c r="AD36">
        <f>HYPERLINK("https://klasma.github.io/Logging_1473/tillsynsmail/S 2401-2022 tillsynsbegäran mail.docx", "S 2401-2022")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46318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46318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46318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46318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46318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46318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46318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46318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46318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24440-2022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44726</v>
      </c>
      <c r="E46" s="1" t="n">
        <v>46318</v>
      </c>
      <c r="F46" t="inlineStr">
        <is>
          <t>VÄSTRA GÖTALANDS LÄN</t>
        </is>
      </c>
      <c r="G46" t="inlineStr">
        <is>
          <t>TÖREBODA</t>
        </is>
      </c>
      <c r="I46" t="n">
        <v>22.2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46318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46318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46318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46318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46318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46318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46318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46318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44579</v>
      </c>
      <c r="E55" s="1" t="n">
        <v>46318</v>
      </c>
      <c r="F55" t="inlineStr">
        <is>
          <t>VÄSTRA GÖTALANDS LÄN</t>
        </is>
      </c>
      <c r="G55" t="inlineStr">
        <is>
          <t>TÖREBODA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46318</v>
      </c>
      <c r="F56" t="inlineStr">
        <is>
          <t>VÄSTRA GÖTALANDS LÄN</t>
        </is>
      </c>
      <c r="G56" t="inlineStr">
        <is>
          <t>TÖREBODA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45245</v>
      </c>
      <c r="E57" s="1" t="n">
        <v>46318</v>
      </c>
      <c r="F57" t="inlineStr">
        <is>
          <t>VÄSTRA GÖTALANDS LÄN</t>
        </is>
      </c>
      <c r="G57" t="inlineStr">
        <is>
          <t>TÖREBODA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69817-2021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46318</v>
      </c>
      <c r="F58" t="inlineStr">
        <is>
          <t>VÄSTRA GÖTALANDS LÄN</t>
        </is>
      </c>
      <c r="G58" t="inlineStr">
        <is>
          <t>TÖREBODA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46318</v>
      </c>
      <c r="F59" t="inlineStr">
        <is>
          <t>VÄSTRA GÖTALANDS LÄN</t>
        </is>
      </c>
      <c r="G59" t="inlineStr">
        <is>
          <t>TÖREBODA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69286-2021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46318</v>
      </c>
      <c r="F60" t="inlineStr">
        <is>
          <t>VÄSTRA GÖTALANDS LÄN</t>
        </is>
      </c>
      <c r="G60" t="inlineStr">
        <is>
          <t>TÖREBODA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46318</v>
      </c>
      <c r="F61" t="inlineStr">
        <is>
          <t>VÄSTRA GÖTALANDS LÄN</t>
        </is>
      </c>
      <c r="G61" t="inlineStr">
        <is>
          <t>TÖREBODA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11680-2024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45373</v>
      </c>
      <c r="E62" s="1" t="n">
        <v>46318</v>
      </c>
      <c r="F62" t="inlineStr">
        <is>
          <t>VÄSTRA GÖTALANDS LÄN</t>
        </is>
      </c>
      <c r="G62" t="inlineStr">
        <is>
          <t>TÖREBODA</t>
        </is>
      </c>
      <c r="I62" t="n">
        <v>12.3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46318</v>
      </c>
      <c r="F63" t="inlineStr">
        <is>
          <t>VÄSTRA GÖTALANDS LÄN</t>
        </is>
      </c>
      <c r="G63" t="inlineStr">
        <is>
          <t>TÖREBODA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19723-2023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45051</v>
      </c>
      <c r="E64" s="1" t="n">
        <v>46318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46318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46318</v>
      </c>
      <c r="F66" t="inlineStr">
        <is>
          <t>VÄSTRA GÖTALANDS LÄN</t>
        </is>
      </c>
      <c r="G66" t="inlineStr">
        <is>
          <t>TÖREBODA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8921-2022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46318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Kyrkan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47162-2022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46318</v>
      </c>
      <c r="F68" t="inlineStr">
        <is>
          <t>VÄSTRA GÖTALANDS LÄN</t>
        </is>
      </c>
      <c r="G68" t="inlineStr">
        <is>
          <t>TÖREBODA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46318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Kommuner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46318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Kyrkan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46318</v>
      </c>
      <c r="F71" t="inlineStr">
        <is>
          <t>VÄSTRA GÖTALANDS LÄN</t>
        </is>
      </c>
      <c r="G71" t="inlineStr">
        <is>
          <t>TÖREBODA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46318</v>
      </c>
      <c r="F72" t="inlineStr">
        <is>
          <t>VÄSTRA GÖTALANDS LÄN</t>
        </is>
      </c>
      <c r="G72" t="inlineStr">
        <is>
          <t>TÖREBODA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46318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46318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46318</v>
      </c>
      <c r="F75" t="inlineStr">
        <is>
          <t>VÄSTRA GÖTALANDS LÄN</t>
        </is>
      </c>
      <c r="G75" t="inlineStr">
        <is>
          <t>TÖREBODA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44987</v>
      </c>
      <c r="E76" s="1" t="n">
        <v>46318</v>
      </c>
      <c r="F76" t="inlineStr">
        <is>
          <t>VÄSTRA GÖTALANDS LÄN</t>
        </is>
      </c>
      <c r="G76" t="inlineStr">
        <is>
          <t>TÖREBODA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45457</v>
      </c>
      <c r="E77" s="1" t="n">
        <v>46318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Övriga statliga verk och myndigheter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26941-2025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45811</v>
      </c>
      <c r="E78" s="1" t="n">
        <v>46318</v>
      </c>
      <c r="F78" t="inlineStr">
        <is>
          <t>VÄSTRA GÖTALANDS LÄN</t>
        </is>
      </c>
      <c r="G78" t="inlineStr">
        <is>
          <t>TÖREBODA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44986</v>
      </c>
      <c r="E79" s="1" t="n">
        <v>46318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46318</v>
      </c>
      <c r="F80" t="inlineStr">
        <is>
          <t>VÄSTRA GÖTALANDS LÄN</t>
        </is>
      </c>
      <c r="G80" t="inlineStr">
        <is>
          <t>TÖREBODA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45076</v>
      </c>
      <c r="E81" s="1" t="n">
        <v>46318</v>
      </c>
      <c r="F81" t="inlineStr">
        <is>
          <t>VÄSTRA GÖTALANDS LÄN</t>
        </is>
      </c>
      <c r="G81" t="inlineStr">
        <is>
          <t>TÖREBODA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46318</v>
      </c>
      <c r="F82" t="inlineStr">
        <is>
          <t>VÄSTRA GÖTALANDS LÄN</t>
        </is>
      </c>
      <c r="G82" t="inlineStr">
        <is>
          <t>TÖREBODA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45699</v>
      </c>
      <c r="E83" s="1" t="n">
        <v>46318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46318</v>
      </c>
      <c r="F84" t="inlineStr">
        <is>
          <t>VÄSTRA GÖTALANDS LÄN</t>
        </is>
      </c>
      <c r="G84" t="inlineStr">
        <is>
          <t>TÖREBODA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45552</v>
      </c>
      <c r="E85" s="1" t="n">
        <v>46318</v>
      </c>
      <c r="F85" t="inlineStr">
        <is>
          <t>VÄSTRA GÖTALANDS LÄN</t>
        </is>
      </c>
      <c r="G85" t="inlineStr">
        <is>
          <t>TÖREBODA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45002</v>
      </c>
      <c r="E86" s="1" t="n">
        <v>46318</v>
      </c>
      <c r="F86" t="inlineStr">
        <is>
          <t>VÄSTRA GÖTALANDS LÄN</t>
        </is>
      </c>
      <c r="G86" t="inlineStr">
        <is>
          <t>TÖREBODA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46318</v>
      </c>
      <c r="F87" t="inlineStr">
        <is>
          <t>VÄSTRA GÖTALANDS LÄN</t>
        </is>
      </c>
      <c r="G87" t="inlineStr">
        <is>
          <t>TÖREBODA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46318</v>
      </c>
      <c r="F88" t="inlineStr">
        <is>
          <t>VÄSTRA GÖTALANDS LÄN</t>
        </is>
      </c>
      <c r="G88" t="inlineStr">
        <is>
          <t>TÖREBODA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46318</v>
      </c>
      <c r="F89" t="inlineStr">
        <is>
          <t>VÄSTRA GÖTALANDS LÄN</t>
        </is>
      </c>
      <c r="G89" t="inlineStr">
        <is>
          <t>TÖREBODA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45556</v>
      </c>
      <c r="E90" s="1" t="n">
        <v>46318</v>
      </c>
      <c r="F90" t="inlineStr">
        <is>
          <t>VÄSTRA GÖTALANDS LÄN</t>
        </is>
      </c>
      <c r="G90" t="inlineStr">
        <is>
          <t>TÖREBODA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45885</v>
      </c>
      <c r="E91" s="1" t="n">
        <v>46318</v>
      </c>
      <c r="F91" t="inlineStr">
        <is>
          <t>VÄSTRA GÖTALANDS LÄN</t>
        </is>
      </c>
      <c r="G91" t="inlineStr">
        <is>
          <t>TÖREBODA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45885</v>
      </c>
      <c r="E92" s="1" t="n">
        <v>46318</v>
      </c>
      <c r="F92" t="inlineStr">
        <is>
          <t>VÄSTRA GÖTALANDS LÄN</t>
        </is>
      </c>
      <c r="G92" t="inlineStr">
        <is>
          <t>TÖREBODA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6446-2025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45699</v>
      </c>
      <c r="E93" s="1" t="n">
        <v>46318</v>
      </c>
      <c r="F93" t="inlineStr">
        <is>
          <t>VÄSTRA GÖTALANDS LÄN</t>
        </is>
      </c>
      <c r="G93" t="inlineStr">
        <is>
          <t>TÖREBODA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44599</v>
      </c>
      <c r="E94" s="1" t="n">
        <v>46318</v>
      </c>
      <c r="F94" t="inlineStr">
        <is>
          <t>VÄSTRA GÖTALANDS LÄN</t>
        </is>
      </c>
      <c r="G94" t="inlineStr">
        <is>
          <t>TÖREBODA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46318</v>
      </c>
      <c r="F95" t="inlineStr">
        <is>
          <t>VÄSTRA GÖTALANDS LÄN</t>
        </is>
      </c>
      <c r="G95" t="inlineStr">
        <is>
          <t>TÖREBODA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46318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Övriga Aktiebolag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46318</v>
      </c>
      <c r="F97" t="inlineStr">
        <is>
          <t>VÄSTRA GÖTALANDS LÄN</t>
        </is>
      </c>
      <c r="G97" t="inlineStr">
        <is>
          <t>TÖREBODA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45885</v>
      </c>
      <c r="E98" s="1" t="n">
        <v>46318</v>
      </c>
      <c r="F98" t="inlineStr">
        <is>
          <t>VÄSTRA GÖTALANDS LÄN</t>
        </is>
      </c>
      <c r="G98" t="inlineStr">
        <is>
          <t>TÖREBODA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44907</v>
      </c>
      <c r="E99" s="1" t="n">
        <v>46318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46318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45763</v>
      </c>
      <c r="E101" s="1" t="n">
        <v>46318</v>
      </c>
      <c r="F101" t="inlineStr">
        <is>
          <t>VÄSTRA GÖTALANDS LÄN</t>
        </is>
      </c>
      <c r="G101" t="inlineStr">
        <is>
          <t>TÖREBODA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42109-2024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46318</v>
      </c>
      <c r="F102" t="inlineStr">
        <is>
          <t>VÄSTRA GÖTALANDS LÄN</t>
        </is>
      </c>
      <c r="G102" t="inlineStr">
        <is>
          <t>TÖREBODA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46318</v>
      </c>
      <c r="F103" t="inlineStr">
        <is>
          <t>VÄSTRA GÖTALANDS LÄN</t>
        </is>
      </c>
      <c r="G103" t="inlineStr">
        <is>
          <t>TÖREBODA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45127</v>
      </c>
      <c r="E104" s="1" t="n">
        <v>46318</v>
      </c>
      <c r="F104" t="inlineStr">
        <is>
          <t>VÄSTRA GÖTALANDS LÄN</t>
        </is>
      </c>
      <c r="G104" t="inlineStr">
        <is>
          <t>TÖREBODA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46318</v>
      </c>
      <c r="F105" t="inlineStr">
        <is>
          <t>VÄSTRA GÖTALANDS LÄN</t>
        </is>
      </c>
      <c r="G105" t="inlineStr">
        <is>
          <t>TÖREBODA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46318</v>
      </c>
      <c r="F106" t="inlineStr">
        <is>
          <t>VÄSTRA GÖTALANDS LÄN</t>
        </is>
      </c>
      <c r="G106" t="inlineStr">
        <is>
          <t>TÖREBODA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46318</v>
      </c>
      <c r="F107" t="inlineStr">
        <is>
          <t>VÄSTRA GÖTALANDS LÄN</t>
        </is>
      </c>
      <c r="G107" t="inlineStr">
        <is>
          <t>TÖREBODA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46318</v>
      </c>
      <c r="F108" t="inlineStr">
        <is>
          <t>VÄSTRA GÖTALANDS LÄN</t>
        </is>
      </c>
      <c r="G108" t="inlineStr">
        <is>
          <t>TÖREBODA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44664</v>
      </c>
      <c r="E109" s="1" t="n">
        <v>46318</v>
      </c>
      <c r="F109" t="inlineStr">
        <is>
          <t>VÄSTRA GÖTALANDS LÄN</t>
        </is>
      </c>
      <c r="G109" t="inlineStr">
        <is>
          <t>TÖREBODA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46318</v>
      </c>
      <c r="F110" t="inlineStr">
        <is>
          <t>VÄSTRA GÖTALANDS LÄN</t>
        </is>
      </c>
      <c r="G110" t="inlineStr">
        <is>
          <t>TÖREBODA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46318</v>
      </c>
      <c r="F111" t="inlineStr">
        <is>
          <t>VÄSTRA GÖTALANDS LÄN</t>
        </is>
      </c>
      <c r="G111" t="inlineStr">
        <is>
          <t>TÖREBODA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46318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46318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46318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46318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Övriga statliga verk och myndigheter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46318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Övriga statliga verk och myndigheter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45384</v>
      </c>
      <c r="E117" s="1" t="n">
        <v>46318</v>
      </c>
      <c r="F117" t="inlineStr">
        <is>
          <t>VÄSTRA GÖTALANDS LÄN</t>
        </is>
      </c>
      <c r="G117" t="inlineStr">
        <is>
          <t>TÖREBODA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45344</v>
      </c>
      <c r="E118" s="1" t="n">
        <v>46318</v>
      </c>
      <c r="F118" t="inlineStr">
        <is>
          <t>VÄSTRA GÖTALANDS LÄN</t>
        </is>
      </c>
      <c r="G118" t="inlineStr">
        <is>
          <t>TÖREBODA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46318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46318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45651</v>
      </c>
      <c r="E121" s="1" t="n">
        <v>46318</v>
      </c>
      <c r="F121" t="inlineStr">
        <is>
          <t>VÄSTRA GÖTALANDS LÄN</t>
        </is>
      </c>
      <c r="G121" t="inlineStr">
        <is>
          <t>TÖREBODA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46318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Kyrkan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46318</v>
      </c>
      <c r="F123" t="inlineStr">
        <is>
          <t>VÄSTRA GÖTALANDS LÄN</t>
        </is>
      </c>
      <c r="G123" t="inlineStr">
        <is>
          <t>TÖREBODA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46318</v>
      </c>
      <c r="F124" t="inlineStr">
        <is>
          <t>VÄSTRA GÖTALANDS LÄN</t>
        </is>
      </c>
      <c r="G124" t="inlineStr">
        <is>
          <t>TÖREBODA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45741</v>
      </c>
      <c r="E125" s="1" t="n">
        <v>46318</v>
      </c>
      <c r="F125" t="inlineStr">
        <is>
          <t>VÄSTRA GÖTALANDS LÄN</t>
        </is>
      </c>
      <c r="G125" t="inlineStr">
        <is>
          <t>TÖREBODA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46318</v>
      </c>
      <c r="F126" t="inlineStr">
        <is>
          <t>VÄSTRA GÖTALANDS LÄN</t>
        </is>
      </c>
      <c r="G126" t="inlineStr">
        <is>
          <t>TÖREBODA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44741</v>
      </c>
      <c r="E127" s="1" t="n">
        <v>46318</v>
      </c>
      <c r="F127" t="inlineStr">
        <is>
          <t>VÄSTRA GÖTALANDS LÄN</t>
        </is>
      </c>
      <c r="G127" t="inlineStr">
        <is>
          <t>TÖREBODA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46318</v>
      </c>
      <c r="F128" t="inlineStr">
        <is>
          <t>VÄSTRA GÖTALANDS LÄN</t>
        </is>
      </c>
      <c r="G128" t="inlineStr">
        <is>
          <t>TÖREBODA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46318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46318</v>
      </c>
      <c r="F130" t="inlineStr">
        <is>
          <t>VÄSTRA GÖTALANDS LÄN</t>
        </is>
      </c>
      <c r="G130" t="inlineStr">
        <is>
          <t>TÖREBODA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46318</v>
      </c>
      <c r="F131" t="inlineStr">
        <is>
          <t>VÄSTRA GÖTALANDS LÄN</t>
        </is>
      </c>
      <c r="G131" t="inlineStr">
        <is>
          <t>TÖREBODA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45553</v>
      </c>
      <c r="E132" s="1" t="n">
        <v>46318</v>
      </c>
      <c r="F132" t="inlineStr">
        <is>
          <t>VÄSTRA GÖTALANDS LÄN</t>
        </is>
      </c>
      <c r="G132" t="inlineStr">
        <is>
          <t>TÖREBODA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46318</v>
      </c>
      <c r="F133" t="inlineStr">
        <is>
          <t>VÄSTRA GÖTALANDS LÄN</t>
        </is>
      </c>
      <c r="G133" t="inlineStr">
        <is>
          <t>TÖREBODA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46318</v>
      </c>
      <c r="F134" t="inlineStr">
        <is>
          <t>VÄSTRA GÖTALANDS LÄN</t>
        </is>
      </c>
      <c r="G134" t="inlineStr">
        <is>
          <t>TÖREBODA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46318</v>
      </c>
      <c r="F135" t="inlineStr">
        <is>
          <t>VÄSTRA GÖTALANDS LÄN</t>
        </is>
      </c>
      <c r="G135" t="inlineStr">
        <is>
          <t>TÖREBODA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46318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46318</v>
      </c>
      <c r="F137" t="inlineStr">
        <is>
          <t>VÄSTRA GÖTALANDS LÄN</t>
        </is>
      </c>
      <c r="G137" t="inlineStr">
        <is>
          <t>TÖREBODA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46318</v>
      </c>
      <c r="F138" t="inlineStr">
        <is>
          <t>VÄSTRA GÖTALANDS LÄN</t>
        </is>
      </c>
      <c r="G138" t="inlineStr">
        <is>
          <t>TÖREBODA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46318</v>
      </c>
      <c r="F139" t="inlineStr">
        <is>
          <t>VÄSTRA GÖTALANDS LÄN</t>
        </is>
      </c>
      <c r="G139" t="inlineStr">
        <is>
          <t>TÖREBODA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45309</v>
      </c>
      <c r="E140" s="1" t="n">
        <v>46318</v>
      </c>
      <c r="F140" t="inlineStr">
        <is>
          <t>VÄSTRA GÖTALANDS LÄN</t>
        </is>
      </c>
      <c r="G140" t="inlineStr">
        <is>
          <t>TÖREBODA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46318</v>
      </c>
      <c r="F141" t="inlineStr">
        <is>
          <t>VÄSTRA GÖTALANDS LÄN</t>
        </is>
      </c>
      <c r="G141" t="inlineStr">
        <is>
          <t>TÖREBODA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45425</v>
      </c>
      <c r="E142" s="1" t="n">
        <v>46318</v>
      </c>
      <c r="F142" t="inlineStr">
        <is>
          <t>VÄSTRA GÖTALANDS LÄN</t>
        </is>
      </c>
      <c r="G142" t="inlineStr">
        <is>
          <t>TÖREBODA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46318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46318</v>
      </c>
      <c r="F144" t="inlineStr">
        <is>
          <t>VÄSTRA GÖTALANDS LÄN</t>
        </is>
      </c>
      <c r="G144" t="inlineStr">
        <is>
          <t>TÖREBODA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46318</v>
      </c>
      <c r="F145" t="inlineStr">
        <is>
          <t>VÄSTRA GÖTALANDS LÄN</t>
        </is>
      </c>
      <c r="G145" t="inlineStr">
        <is>
          <t>TÖREBODA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45077</v>
      </c>
      <c r="E146" s="1" t="n">
        <v>46318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Aktiebolag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46318</v>
      </c>
      <c r="F147" t="inlineStr">
        <is>
          <t>VÄSTRA GÖTALANDS LÄN</t>
        </is>
      </c>
      <c r="G147" t="inlineStr">
        <is>
          <t>TÖREBODA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46318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46318</v>
      </c>
      <c r="F149" t="inlineStr">
        <is>
          <t>VÄSTRA GÖTALANDS LÄN</t>
        </is>
      </c>
      <c r="G149" t="inlineStr">
        <is>
          <t>TÖREBODA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46318</v>
      </c>
      <c r="F150" t="inlineStr">
        <is>
          <t>VÄSTRA GÖTALANDS LÄN</t>
        </is>
      </c>
      <c r="G150" t="inlineStr">
        <is>
          <t>TÖREBODA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46318</v>
      </c>
      <c r="F151" t="inlineStr">
        <is>
          <t>VÄSTRA GÖTALANDS LÄN</t>
        </is>
      </c>
      <c r="G151" t="inlineStr">
        <is>
          <t>TÖREBODA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22861-2024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46318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Övriga statliga verk och myndigheter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44782</v>
      </c>
      <c r="E153" s="1" t="n">
        <v>46318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Övriga statliga verk och myndigheter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46318</v>
      </c>
      <c r="F154" t="inlineStr">
        <is>
          <t>VÄSTRA GÖTALANDS LÄN</t>
        </is>
      </c>
      <c r="G154" t="inlineStr">
        <is>
          <t>TÖREBODA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46318</v>
      </c>
      <c r="F155" t="inlineStr">
        <is>
          <t>VÄSTRA GÖTALANDS LÄN</t>
        </is>
      </c>
      <c r="G155" t="inlineStr">
        <is>
          <t>TÖREBODA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45961</v>
      </c>
      <c r="E156" s="1" t="n">
        <v>46318</v>
      </c>
      <c r="F156" t="inlineStr">
        <is>
          <t>VÄSTRA GÖTALANDS LÄN</t>
        </is>
      </c>
      <c r="G156" t="inlineStr">
        <is>
          <t>TÖREBODA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46318</v>
      </c>
      <c r="F157" t="inlineStr">
        <is>
          <t>VÄSTRA GÖTALANDS LÄN</t>
        </is>
      </c>
      <c r="G157" t="inlineStr">
        <is>
          <t>TÖREBODA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46318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55593-2025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45971</v>
      </c>
      <c r="E159" s="1" t="n">
        <v>46318</v>
      </c>
      <c r="F159" t="inlineStr">
        <is>
          <t>VÄSTRA GÖTALANDS LÄN</t>
        </is>
      </c>
      <c r="G159" t="inlineStr">
        <is>
          <t>TÖREBODA</t>
        </is>
      </c>
      <c r="I159" t="n">
        <v>20.8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46318</v>
      </c>
      <c r="F160" t="inlineStr">
        <is>
          <t>VÄSTRA GÖTALANDS LÄN</t>
        </is>
      </c>
      <c r="G160" t="inlineStr">
        <is>
          <t>TÖREBODA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46318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46318</v>
      </c>
      <c r="F162" t="inlineStr">
        <is>
          <t>VÄSTRA GÖTALANDS LÄN</t>
        </is>
      </c>
      <c r="G162" t="inlineStr">
        <is>
          <t>TÖREBODA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55766-2025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45972</v>
      </c>
      <c r="E163" s="1" t="n">
        <v>46318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46318</v>
      </c>
      <c r="F164" t="inlineStr">
        <is>
          <t>VÄSTRA GÖTALANDS LÄN</t>
        </is>
      </c>
      <c r="G164" t="inlineStr">
        <is>
          <t>TÖREBODA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45324</v>
      </c>
      <c r="E165" s="1" t="n">
        <v>46318</v>
      </c>
      <c r="F165" t="inlineStr">
        <is>
          <t>VÄSTRA GÖTALANDS LÄN</t>
        </is>
      </c>
      <c r="G165" t="inlineStr">
        <is>
          <t>TÖREBODA</t>
        </is>
      </c>
      <c r="I165" t="n">
        <v>28.9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46318</v>
      </c>
      <c r="F166" t="inlineStr">
        <is>
          <t>VÄSTRA GÖTALANDS LÄN</t>
        </is>
      </c>
      <c r="G166" t="inlineStr">
        <is>
          <t>TÖREBODA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46318</v>
      </c>
      <c r="F167" t="inlineStr">
        <is>
          <t>VÄSTRA GÖTALANDS LÄN</t>
        </is>
      </c>
      <c r="G167" t="inlineStr">
        <is>
          <t>TÖREBODA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46318</v>
      </c>
      <c r="F168" t="inlineStr">
        <is>
          <t>VÄSTRA GÖTALANDS LÄN</t>
        </is>
      </c>
      <c r="G168" t="inlineStr">
        <is>
          <t>TÖREBODA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41627-2022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44827</v>
      </c>
      <c r="E169" s="1" t="n">
        <v>46318</v>
      </c>
      <c r="F169" t="inlineStr">
        <is>
          <t>VÄSTRA GÖTALANDS LÄN</t>
        </is>
      </c>
      <c r="G169" t="inlineStr">
        <is>
          <t>TÖREBODA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41632-2022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44827</v>
      </c>
      <c r="E170" s="1" t="n">
        <v>46318</v>
      </c>
      <c r="F170" t="inlineStr">
        <is>
          <t>VÄSTRA GÖTALANDS LÄN</t>
        </is>
      </c>
      <c r="G170" t="inlineStr">
        <is>
          <t>TÖREBODA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46152</v>
      </c>
      <c r="E171" s="1" t="n">
        <v>46318</v>
      </c>
      <c r="F171" t="inlineStr">
        <is>
          <t>VÄSTRA GÖTALANDS LÄN</t>
        </is>
      </c>
      <c r="G171" t="inlineStr">
        <is>
          <t>TÖREBODA</t>
        </is>
      </c>
      <c r="I171" t="n">
        <v>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46318</v>
      </c>
      <c r="F172" t="inlineStr">
        <is>
          <t>VÄSTRA GÖTALANDS LÄN</t>
        </is>
      </c>
      <c r="G172" t="inlineStr">
        <is>
          <t>TÖREBODA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46318</v>
      </c>
      <c r="F173" t="inlineStr">
        <is>
          <t>VÄSTRA GÖTALANDS LÄN</t>
        </is>
      </c>
      <c r="G173" t="inlineStr">
        <is>
          <t>TÖREBODA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46318</v>
      </c>
      <c r="F174" t="inlineStr">
        <is>
          <t>VÄSTRA GÖTALANDS LÄN</t>
        </is>
      </c>
      <c r="G174" t="inlineStr">
        <is>
          <t>TÖREBODA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46318</v>
      </c>
      <c r="F175" t="inlineStr">
        <is>
          <t>VÄSTRA GÖTALANDS LÄN</t>
        </is>
      </c>
      <c r="G175" t="inlineStr">
        <is>
          <t>TÖREBODA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46152</v>
      </c>
      <c r="E176" s="1" t="n">
        <v>46318</v>
      </c>
      <c r="F176" t="inlineStr">
        <is>
          <t>VÄSTRA GÖTALANDS LÄN</t>
        </is>
      </c>
      <c r="G176" t="inlineStr">
        <is>
          <t>TÖREBODA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46152</v>
      </c>
      <c r="E177" s="1" t="n">
        <v>46318</v>
      </c>
      <c r="F177" t="inlineStr">
        <is>
          <t>VÄSTRA GÖTALANDS LÄN</t>
        </is>
      </c>
      <c r="G177" t="inlineStr">
        <is>
          <t>TÖREBODA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46318</v>
      </c>
      <c r="F178" t="inlineStr">
        <is>
          <t>VÄSTRA GÖTALANDS LÄN</t>
        </is>
      </c>
      <c r="G178" t="inlineStr">
        <is>
          <t>TÖREBODA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46152</v>
      </c>
      <c r="E179" s="1" t="n">
        <v>46318</v>
      </c>
      <c r="F179" t="inlineStr">
        <is>
          <t>VÄSTRA GÖTALANDS LÄN</t>
        </is>
      </c>
      <c r="G179" t="inlineStr">
        <is>
          <t>TÖREBODA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46318</v>
      </c>
      <c r="F180" t="inlineStr">
        <is>
          <t>VÄSTRA GÖTALANDS LÄN</t>
        </is>
      </c>
      <c r="G180" t="inlineStr">
        <is>
          <t>TÖREBODA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62781-2023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45268</v>
      </c>
      <c r="E181" s="1" t="n">
        <v>46318</v>
      </c>
      <c r="F181" t="inlineStr">
        <is>
          <t>VÄSTRA GÖTALANDS LÄN</t>
        </is>
      </c>
      <c r="G181" t="inlineStr">
        <is>
          <t>TÖREBODA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45450</v>
      </c>
      <c r="E182" s="1" t="n">
        <v>46318</v>
      </c>
      <c r="F182" t="inlineStr">
        <is>
          <t>VÄSTRA GÖTALANDS LÄN</t>
        </is>
      </c>
      <c r="G182" t="inlineStr">
        <is>
          <t>TÖREBODA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45328</v>
      </c>
      <c r="E183" s="1" t="n">
        <v>46318</v>
      </c>
      <c r="F183" t="inlineStr">
        <is>
          <t>VÄSTRA GÖTALANDS LÄN</t>
        </is>
      </c>
      <c r="G183" t="inlineStr">
        <is>
          <t>TÖREBODA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44907</v>
      </c>
      <c r="E184" s="1" t="n">
        <v>46318</v>
      </c>
      <c r="F184" t="inlineStr">
        <is>
          <t>VÄSTRA GÖTALANDS LÄN</t>
        </is>
      </c>
      <c r="G184" t="inlineStr">
        <is>
          <t>TÖREBODA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46318</v>
      </c>
      <c r="F185" t="inlineStr">
        <is>
          <t>VÄSTRA GÖTALANDS LÄN</t>
        </is>
      </c>
      <c r="G185" t="inlineStr">
        <is>
          <t>TÖREBODA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46318</v>
      </c>
      <c r="F186" t="inlineStr">
        <is>
          <t>VÄSTRA GÖTALANDS LÄN</t>
        </is>
      </c>
      <c r="G186" t="inlineStr">
        <is>
          <t>TÖREBODA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44951</v>
      </c>
      <c r="E187" s="1" t="n">
        <v>46318</v>
      </c>
      <c r="F187" t="inlineStr">
        <is>
          <t>VÄSTRA GÖTALANDS LÄN</t>
        </is>
      </c>
      <c r="G187" t="inlineStr">
        <is>
          <t>TÖREBODA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45757</v>
      </c>
      <c r="E188" s="1" t="n">
        <v>46318</v>
      </c>
      <c r="F188" t="inlineStr">
        <is>
          <t>VÄSTRA GÖTALANDS LÄN</t>
        </is>
      </c>
      <c r="G188" t="inlineStr">
        <is>
          <t>TÖREBODA</t>
        </is>
      </c>
      <c r="I188" t="n">
        <v>49.4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45637</v>
      </c>
      <c r="E189" s="1" t="n">
        <v>46318</v>
      </c>
      <c r="F189" t="inlineStr">
        <is>
          <t>VÄSTRA GÖTALANDS LÄN</t>
        </is>
      </c>
      <c r="G189" t="inlineStr">
        <is>
          <t>TÖREBODA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46318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Sveaskog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45161-2023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46318</v>
      </c>
      <c r="F191" t="inlineStr">
        <is>
          <t>VÄSTRA GÖTALANDS LÄN</t>
        </is>
      </c>
      <c r="G191" t="inlineStr">
        <is>
          <t>TÖREBODA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46318</v>
      </c>
      <c r="F192" t="inlineStr">
        <is>
          <t>VÄSTRA GÖTALANDS LÄN</t>
        </is>
      </c>
      <c r="G192" t="inlineStr">
        <is>
          <t>TÖREBODA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45142</v>
      </c>
      <c r="E193" s="1" t="n">
        <v>46318</v>
      </c>
      <c r="F193" t="inlineStr">
        <is>
          <t>VÄSTRA GÖTALANDS LÄN</t>
        </is>
      </c>
      <c r="G193" t="inlineStr">
        <is>
          <t>TÖREBODA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46318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46318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Sveaskog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44937</v>
      </c>
      <c r="E196" s="1" t="n">
        <v>46318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44697</v>
      </c>
      <c r="E197" s="1" t="n">
        <v>46318</v>
      </c>
      <c r="F197" t="inlineStr">
        <is>
          <t>VÄSTRA GÖTALANDS LÄN</t>
        </is>
      </c>
      <c r="G197" t="inlineStr">
        <is>
          <t>TÖREBODA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44937</v>
      </c>
      <c r="E198" s="1" t="n">
        <v>46318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28196-2022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44746</v>
      </c>
      <c r="E199" s="1" t="n">
        <v>46318</v>
      </c>
      <c r="F199" t="inlineStr">
        <is>
          <t>VÄSTRA GÖTALANDS LÄN</t>
        </is>
      </c>
      <c r="G199" t="inlineStr">
        <is>
          <t>TÖREBODA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45777</v>
      </c>
      <c r="E200" s="1" t="n">
        <v>46318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46318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46318</v>
      </c>
      <c r="F202" t="inlineStr">
        <is>
          <t>VÄSTRA GÖTALANDS LÄN</t>
        </is>
      </c>
      <c r="G202" t="inlineStr">
        <is>
          <t>TÖREBODA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45727</v>
      </c>
      <c r="E203" s="1" t="n">
        <v>46318</v>
      </c>
      <c r="F203" t="inlineStr">
        <is>
          <t>VÄSTRA GÖTALANDS LÄN</t>
        </is>
      </c>
      <c r="G203" t="inlineStr">
        <is>
          <t>TÖREBODA</t>
        </is>
      </c>
      <c r="I203" t="n">
        <v>11.2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46318</v>
      </c>
      <c r="F204" t="inlineStr">
        <is>
          <t>VÄSTRA GÖTALANDS LÄN</t>
        </is>
      </c>
      <c r="G204" t="inlineStr">
        <is>
          <t>TÖREBODA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46318</v>
      </c>
      <c r="F205" t="inlineStr">
        <is>
          <t>VÄSTRA GÖTALANDS LÄN</t>
        </is>
      </c>
      <c r="G205" t="inlineStr">
        <is>
          <t>TÖREBODA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46318</v>
      </c>
      <c r="F206" t="inlineStr">
        <is>
          <t>VÄSTRA GÖTALANDS LÄN</t>
        </is>
      </c>
      <c r="G206" t="inlineStr">
        <is>
          <t>TÖREBODA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45282</v>
      </c>
      <c r="E207" s="1" t="n">
        <v>46318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46318</v>
      </c>
      <c r="F208" t="inlineStr">
        <is>
          <t>VÄSTRA GÖTALANDS LÄN</t>
        </is>
      </c>
      <c r="G208" t="inlineStr">
        <is>
          <t>TÖREBODA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45730</v>
      </c>
      <c r="E209" s="1" t="n">
        <v>46318</v>
      </c>
      <c r="F209" t="inlineStr">
        <is>
          <t>VÄSTRA GÖTALANDS LÄN</t>
        </is>
      </c>
      <c r="G209" t="inlineStr">
        <is>
          <t>TÖREBODA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46318</v>
      </c>
      <c r="F210" t="inlineStr">
        <is>
          <t>VÄSTRA GÖTALANDS LÄN</t>
        </is>
      </c>
      <c r="G210" t="inlineStr">
        <is>
          <t>TÖREBODA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44987</v>
      </c>
      <c r="E211" s="1" t="n">
        <v>46318</v>
      </c>
      <c r="F211" t="inlineStr">
        <is>
          <t>VÄSTRA GÖTALANDS LÄN</t>
        </is>
      </c>
      <c r="G211" t="inlineStr">
        <is>
          <t>TÖREBODA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46318</v>
      </c>
      <c r="F212" t="inlineStr">
        <is>
          <t>VÄSTRA GÖTALANDS LÄN</t>
        </is>
      </c>
      <c r="G212" t="inlineStr">
        <is>
          <t>TÖREBODA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46318</v>
      </c>
      <c r="F213" t="inlineStr">
        <is>
          <t>VÄSTRA GÖTALANDS LÄN</t>
        </is>
      </c>
      <c r="G213" t="inlineStr">
        <is>
          <t>TÖREBODA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46318</v>
      </c>
      <c r="F214" t="inlineStr">
        <is>
          <t>VÄSTRA GÖTALANDS LÄN</t>
        </is>
      </c>
      <c r="G214" t="inlineStr">
        <is>
          <t>TÖREBODA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45493</v>
      </c>
      <c r="E215" s="1" t="n">
        <v>46318</v>
      </c>
      <c r="F215" t="inlineStr">
        <is>
          <t>VÄSTRA GÖTALANDS LÄN</t>
        </is>
      </c>
      <c r="G215" t="inlineStr">
        <is>
          <t>TÖREBODA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45394</v>
      </c>
      <c r="E216" s="1" t="n">
        <v>46318</v>
      </c>
      <c r="F216" t="inlineStr">
        <is>
          <t>VÄSTRA GÖTALANDS LÄN</t>
        </is>
      </c>
      <c r="G216" t="inlineStr">
        <is>
          <t>TÖREBODA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45439</v>
      </c>
      <c r="E217" s="1" t="n">
        <v>46318</v>
      </c>
      <c r="F217" t="inlineStr">
        <is>
          <t>VÄSTRA GÖTALANDS LÄN</t>
        </is>
      </c>
      <c r="G217" t="inlineStr">
        <is>
          <t>TÖREBODA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46318</v>
      </c>
      <c r="F218" t="inlineStr">
        <is>
          <t>VÄSTRA GÖTALANDS LÄN</t>
        </is>
      </c>
      <c r="G218" t="inlineStr">
        <is>
          <t>TÖREBODA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46318</v>
      </c>
      <c r="F219" t="inlineStr">
        <is>
          <t>VÄSTRA GÖTALANDS LÄN</t>
        </is>
      </c>
      <c r="G219" t="inlineStr">
        <is>
          <t>TÖREBODA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45569</v>
      </c>
      <c r="E220" s="1" t="n">
        <v>46318</v>
      </c>
      <c r="F220" t="inlineStr">
        <is>
          <t>VÄSTRA GÖTALANDS LÄN</t>
        </is>
      </c>
      <c r="G220" t="inlineStr">
        <is>
          <t>TÖREBODA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18690-2025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45763</v>
      </c>
      <c r="E221" s="1" t="n">
        <v>46318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Kyrkan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46318</v>
      </c>
      <c r="F222" t="inlineStr">
        <is>
          <t>VÄSTRA GÖTALANDS LÄN</t>
        </is>
      </c>
      <c r="G222" t="inlineStr">
        <is>
          <t>TÖREBODA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45593</v>
      </c>
      <c r="E223" s="1" t="n">
        <v>46318</v>
      </c>
      <c r="F223" t="inlineStr">
        <is>
          <t>VÄSTRA GÖTALANDS LÄN</t>
        </is>
      </c>
      <c r="G223" t="inlineStr">
        <is>
          <t>TÖREBODA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46318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46268</v>
      </c>
      <c r="E225" s="1" t="n">
        <v>46318</v>
      </c>
      <c r="F225" t="inlineStr">
        <is>
          <t>VÄSTRA GÖTALANDS LÄN</t>
        </is>
      </c>
      <c r="G225" t="inlineStr">
        <is>
          <t>TÖREBODA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46268</v>
      </c>
      <c r="E226" s="1" t="n">
        <v>46318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46318</v>
      </c>
      <c r="F227" t="inlineStr">
        <is>
          <t>VÄSTRA GÖTALANDS LÄN</t>
        </is>
      </c>
      <c r="G227" t="inlineStr">
        <is>
          <t>TÖREBODA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46315</v>
      </c>
      <c r="E228" s="1" t="n">
        <v>46318</v>
      </c>
      <c r="F228" t="inlineStr">
        <is>
          <t>VÄSTRA GÖTALANDS LÄN</t>
        </is>
      </c>
      <c r="G228" t="inlineStr">
        <is>
          <t>TÖREBODA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14557-2026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46100</v>
      </c>
      <c r="E229" s="1" t="n">
        <v>46318</v>
      </c>
      <c r="F229" t="inlineStr">
        <is>
          <t>VÄSTRA GÖTALANDS LÄN</t>
        </is>
      </c>
      <c r="G229" t="inlineStr">
        <is>
          <t>TÖREBODA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46314</v>
      </c>
      <c r="E230" s="1" t="n">
        <v>46318</v>
      </c>
      <c r="F230" t="inlineStr">
        <is>
          <t>VÄSTRA GÖTALANDS LÄN</t>
        </is>
      </c>
      <c r="G230" t="inlineStr">
        <is>
          <t>TÖREBODA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15567-2026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46106</v>
      </c>
      <c r="E231" s="1" t="n">
        <v>46318</v>
      </c>
      <c r="F231" t="inlineStr">
        <is>
          <t>VÄSTRA GÖTALANDS LÄN</t>
        </is>
      </c>
      <c r="G231" t="inlineStr">
        <is>
          <t>TÖREBODA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46317</v>
      </c>
      <c r="E232" s="1" t="n">
        <v>46318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Övriga statliga verk och myndigheter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16200-2026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46318</v>
      </c>
      <c r="F233" t="inlineStr">
        <is>
          <t>VÄSTRA GÖTALANDS LÄN</t>
        </is>
      </c>
      <c r="G233" t="inlineStr">
        <is>
          <t>TÖREBODA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46317</v>
      </c>
      <c r="E234" s="1" t="n">
        <v>46318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Övriga statliga verk och myndigheter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46275</v>
      </c>
      <c r="E235" s="1" t="n">
        <v>46318</v>
      </c>
      <c r="F235" t="inlineStr">
        <is>
          <t>VÄSTRA GÖTALANDS LÄN</t>
        </is>
      </c>
      <c r="G235" t="inlineStr">
        <is>
          <t>TÖREBODA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46318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46318</v>
      </c>
      <c r="F237" t="inlineStr">
        <is>
          <t>VÄSTRA GÖTALANDS LÄN</t>
        </is>
      </c>
      <c r="G237" t="inlineStr">
        <is>
          <t>TÖREBODA</t>
        </is>
      </c>
      <c r="H237" t="inlineStr">
        <is>
          <t>Sveaskog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46317</v>
      </c>
      <c r="E238" s="1" t="n">
        <v>46318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Övriga statliga verk och myndigheter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46318</v>
      </c>
      <c r="F239" t="inlineStr">
        <is>
          <t>VÄSTRA GÖTALANDS LÄN</t>
        </is>
      </c>
      <c r="G239" t="inlineStr">
        <is>
          <t>TÖREBODA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46316</v>
      </c>
      <c r="E240" s="1" t="n">
        <v>46318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Övriga statliga verk och myndigheter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43759-2026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46316</v>
      </c>
      <c r="E241" s="1" t="n">
        <v>46318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46317</v>
      </c>
      <c r="E242" s="1" t="n">
        <v>46318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Övriga statliga verk och myndigheter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46317</v>
      </c>
      <c r="E243" s="1" t="n">
        <v>46318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Övriga statliga verk och myndigheter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46317</v>
      </c>
      <c r="E244" s="1" t="n">
        <v>46318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statliga verk och myndigheter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46122</v>
      </c>
      <c r="E245" s="1" t="n">
        <v>46318</v>
      </c>
      <c r="F245" t="inlineStr">
        <is>
          <t>VÄSTRA GÖTALANDS LÄN</t>
        </is>
      </c>
      <c r="G245" t="inlineStr">
        <is>
          <t>TÖREBODA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46318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30539-2026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46318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46317</v>
      </c>
      <c r="E248" s="1" t="n">
        <v>46318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Övriga statliga verk och myndigheter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45369</v>
      </c>
      <c r="E249" s="1" t="n">
        <v>46318</v>
      </c>
      <c r="F249" t="inlineStr">
        <is>
          <t>VÄSTRA GÖTALANDS LÄN</t>
        </is>
      </c>
      <c r="G249" t="inlineStr">
        <is>
          <t>TÖREBODA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46318</v>
      </c>
      <c r="F250" t="inlineStr">
        <is>
          <t>VÄSTRA GÖTALANDS LÄN</t>
        </is>
      </c>
      <c r="G250" t="inlineStr">
        <is>
          <t>TÖREBODA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19706-2026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46134</v>
      </c>
      <c r="E251" s="1" t="n">
        <v>46318</v>
      </c>
      <c r="F251" t="inlineStr">
        <is>
          <t>VÄSTRA GÖTALANDS LÄN</t>
        </is>
      </c>
      <c r="G251" t="inlineStr">
        <is>
          <t>TÖREBODA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46318</v>
      </c>
      <c r="F252" t="inlineStr">
        <is>
          <t>VÄSTRA GÖTALANDS LÄN</t>
        </is>
      </c>
      <c r="G252" t="inlineStr">
        <is>
          <t>TÖREBODA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46231</v>
      </c>
      <c r="E253" s="1" t="n">
        <v>46318</v>
      </c>
      <c r="F253" t="inlineStr">
        <is>
          <t>VÄSTRA GÖTALANDS LÄN</t>
        </is>
      </c>
      <c r="G253" t="inlineStr">
        <is>
          <t>TÖREBODA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28965-2022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44749</v>
      </c>
      <c r="E254" s="1" t="n">
        <v>46318</v>
      </c>
      <c r="F254" t="inlineStr">
        <is>
          <t>VÄSTRA GÖTALANDS LÄN</t>
        </is>
      </c>
      <c r="G254" t="inlineStr">
        <is>
          <t>TÖREBODA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45457</v>
      </c>
      <c r="E255" s="1" t="n">
        <v>46318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Övriga statliga verk och myndigheter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27231-2023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45096</v>
      </c>
      <c r="E256" s="1" t="n">
        <v>46318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Övriga statliga verk och myndigheter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56273-2022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46318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12.6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46318</v>
      </c>
      <c r="F258" t="inlineStr">
        <is>
          <t>VÄSTRA GÖTALANDS LÄN</t>
        </is>
      </c>
      <c r="G258" t="inlineStr">
        <is>
          <t>TÖREBODA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46318</v>
      </c>
      <c r="F259" t="inlineStr">
        <is>
          <t>VÄSTRA GÖTALANDS LÄN</t>
        </is>
      </c>
      <c r="G259" t="inlineStr">
        <is>
          <t>TÖREBODA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46318</v>
      </c>
      <c r="F260" t="inlineStr">
        <is>
          <t>VÄSTRA GÖTALANDS LÄN</t>
        </is>
      </c>
      <c r="G260" t="inlineStr">
        <is>
          <t>TÖREBODA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56831-2022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44894</v>
      </c>
      <c r="E261" s="1" t="n">
        <v>46318</v>
      </c>
      <c r="F261" t="inlineStr">
        <is>
          <t>VÄSTRA GÖTALANDS LÄN</t>
        </is>
      </c>
      <c r="G261" t="inlineStr">
        <is>
          <t>TÖREBODA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46282</v>
      </c>
      <c r="E262" s="1" t="n">
        <v>46318</v>
      </c>
      <c r="F262" t="inlineStr">
        <is>
          <t>VÄSTRA GÖTALANDS LÄN</t>
        </is>
      </c>
      <c r="G262" t="inlineStr">
        <is>
          <t>TÖREBODA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45627</v>
      </c>
      <c r="E263" s="1" t="n">
        <v>46318</v>
      </c>
      <c r="F263" t="inlineStr">
        <is>
          <t>VÄSTRA GÖTALANDS LÄN</t>
        </is>
      </c>
      <c r="G263" t="inlineStr">
        <is>
          <t>TÖREBODA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46282</v>
      </c>
      <c r="E264" s="1" t="n">
        <v>46318</v>
      </c>
      <c r="F264" t="inlineStr">
        <is>
          <t>VÄSTRA GÖTALANDS LÄN</t>
        </is>
      </c>
      <c r="G264" t="inlineStr">
        <is>
          <t>TÖREBODA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45341</v>
      </c>
      <c r="E265" s="1" t="n">
        <v>46318</v>
      </c>
      <c r="F265" t="inlineStr">
        <is>
          <t>VÄSTRA GÖTALANDS LÄN</t>
        </is>
      </c>
      <c r="G265" t="inlineStr">
        <is>
          <t>TÖREBODA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29023-2024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45481</v>
      </c>
      <c r="E266" s="1" t="n">
        <v>46318</v>
      </c>
      <c r="F266" t="inlineStr">
        <is>
          <t>VÄSTRA GÖTALANDS LÄN</t>
        </is>
      </c>
      <c r="G266" t="inlineStr">
        <is>
          <t>TÖREBODA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46318</v>
      </c>
      <c r="F267" t="inlineStr">
        <is>
          <t>VÄSTRA GÖTALANDS LÄN</t>
        </is>
      </c>
      <c r="G267" t="inlineStr">
        <is>
          <t>TÖREBODA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44978</v>
      </c>
      <c r="E268" s="1" t="n">
        <v>46318</v>
      </c>
      <c r="F268" t="inlineStr">
        <is>
          <t>VÄSTRA GÖTALANDS LÄN</t>
        </is>
      </c>
      <c r="G268" t="inlineStr">
        <is>
          <t>TÖREBODA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62521-2022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44924</v>
      </c>
      <c r="E269" s="1" t="n">
        <v>46318</v>
      </c>
      <c r="F269" t="inlineStr">
        <is>
          <t>VÄSTRA GÖTALANDS LÄN</t>
        </is>
      </c>
      <c r="G269" t="inlineStr">
        <is>
          <t>TÖREBODA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45233</v>
      </c>
      <c r="E270" s="1" t="n">
        <v>46318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Övriga statliga verk och myndigheter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29891-2022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44756</v>
      </c>
      <c r="E271" s="1" t="n">
        <v>46318</v>
      </c>
      <c r="F271" t="inlineStr">
        <is>
          <t>VÄSTRA GÖTALANDS LÄN</t>
        </is>
      </c>
      <c r="G271" t="inlineStr">
        <is>
          <t>TÖREBODA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39282-2026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46288</v>
      </c>
      <c r="E272" s="1" t="n">
        <v>46318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46318</v>
      </c>
      <c r="F273" t="inlineStr">
        <is>
          <t>VÄSTRA GÖTALANDS LÄN</t>
        </is>
      </c>
      <c r="G273" t="inlineStr">
        <is>
          <t>TÖREBODA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44860</v>
      </c>
      <c r="E274" s="1" t="n">
        <v>46318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46318</v>
      </c>
      <c r="F275" t="inlineStr">
        <is>
          <t>VÄSTRA GÖTALANDS LÄN</t>
        </is>
      </c>
      <c r="G275" t="inlineStr">
        <is>
          <t>TÖREBODA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46318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46248</v>
      </c>
      <c r="E277" s="1" t="n">
        <v>46318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46318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45649-2024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45579</v>
      </c>
      <c r="E279" s="1" t="n">
        <v>46318</v>
      </c>
      <c r="F279" t="inlineStr">
        <is>
          <t>VÄSTRA GÖTALANDS LÄN</t>
        </is>
      </c>
      <c r="G279" t="inlineStr">
        <is>
          <t>TÖREBODA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45399</v>
      </c>
      <c r="E280" s="1" t="n">
        <v>46318</v>
      </c>
      <c r="F280" t="inlineStr">
        <is>
          <t>VÄSTRA GÖTALANDS LÄN</t>
        </is>
      </c>
      <c r="G280" t="inlineStr">
        <is>
          <t>TÖREBODA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33524-2026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46248</v>
      </c>
      <c r="E281" s="1" t="n">
        <v>46318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45552</v>
      </c>
      <c r="E282" s="1" t="n">
        <v>46318</v>
      </c>
      <c r="F282" t="inlineStr">
        <is>
          <t>VÄSTRA GÖTALANDS LÄN</t>
        </is>
      </c>
      <c r="G282" t="inlineStr">
        <is>
          <t>TÖREBODA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44901</v>
      </c>
      <c r="E283" s="1" t="n">
        <v>46318</v>
      </c>
      <c r="F283" t="inlineStr">
        <is>
          <t>VÄSTRA GÖTALANDS LÄN</t>
        </is>
      </c>
      <c r="G283" t="inlineStr">
        <is>
          <t>TÖREBODA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62542-2022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44924</v>
      </c>
      <c r="E284" s="1" t="n">
        <v>46318</v>
      </c>
      <c r="F284" t="inlineStr">
        <is>
          <t>VÄSTRA GÖTALANDS LÄN</t>
        </is>
      </c>
      <c r="G284" t="inlineStr">
        <is>
          <t>TÖREBODA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46251</v>
      </c>
      <c r="E285" s="1" t="n">
        <v>46318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54734-2023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45236</v>
      </c>
      <c r="E286" s="1" t="n">
        <v>46318</v>
      </c>
      <c r="F286" t="inlineStr">
        <is>
          <t>VÄSTRA GÖTALANDS LÄN</t>
        </is>
      </c>
      <c r="G286" t="inlineStr">
        <is>
          <t>TÖREBODA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46318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46296</v>
      </c>
      <c r="E288" s="1" t="n">
        <v>46318</v>
      </c>
      <c r="F288" t="inlineStr">
        <is>
          <t>VÄSTRA GÖTALANDS LÄN</t>
        </is>
      </c>
      <c r="G288" t="inlineStr">
        <is>
          <t>TÖREBODA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58123-2022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46318</v>
      </c>
      <c r="F289" t="inlineStr">
        <is>
          <t>VÄSTRA GÖTALANDS LÄN</t>
        </is>
      </c>
      <c r="G289" t="inlineStr">
        <is>
          <t>TÖREBODA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46318</v>
      </c>
      <c r="F290" t="inlineStr">
        <is>
          <t>VÄSTRA GÖTALANDS LÄN</t>
        </is>
      </c>
      <c r="G290" t="inlineStr">
        <is>
          <t>TÖREBODA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35232-2024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45530</v>
      </c>
      <c r="E291" s="1" t="n">
        <v>46318</v>
      </c>
      <c r="F291" t="inlineStr">
        <is>
          <t>VÄSTRA GÖTALANDS LÄN</t>
        </is>
      </c>
      <c r="G291" t="inlineStr">
        <is>
          <t>TÖREBODA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45328</v>
      </c>
      <c r="E292" s="1" t="n">
        <v>46318</v>
      </c>
      <c r="F292" t="inlineStr">
        <is>
          <t>VÄSTRA GÖTALANDS LÄN</t>
        </is>
      </c>
      <c r="G292" t="inlineStr">
        <is>
          <t>TÖREBODA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46318</v>
      </c>
      <c r="F293" t="inlineStr">
        <is>
          <t>VÄSTRA GÖTALANDS LÄN</t>
        </is>
      </c>
      <c r="G293" t="inlineStr">
        <is>
          <t>TÖREBODA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45244</v>
      </c>
      <c r="E294" s="1" t="n">
        <v>46318</v>
      </c>
      <c r="F294" t="inlineStr">
        <is>
          <t>VÄSTRA GÖTALANDS LÄN</t>
        </is>
      </c>
      <c r="G294" t="inlineStr">
        <is>
          <t>TÖREBODA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45443</v>
      </c>
      <c r="E295" s="1" t="n">
        <v>46318</v>
      </c>
      <c r="F295" t="inlineStr">
        <is>
          <t>VÄSTRA GÖTALANDS LÄN</t>
        </is>
      </c>
      <c r="G295" t="inlineStr">
        <is>
          <t>TÖREBODA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47319-2022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44853</v>
      </c>
      <c r="E296" s="1" t="n">
        <v>46318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35239-2023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45145</v>
      </c>
      <c r="E297" s="1" t="n">
        <v>46318</v>
      </c>
      <c r="F297" t="inlineStr">
        <is>
          <t>VÄSTRA GÖTALANDS LÄN</t>
        </is>
      </c>
      <c r="G297" t="inlineStr">
        <is>
          <t>TÖREBODA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39798-2024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46318</v>
      </c>
      <c r="F298" t="inlineStr">
        <is>
          <t>VÄSTRA GÖTALANDS LÄN</t>
        </is>
      </c>
      <c r="G298" t="inlineStr">
        <is>
          <t>TÖREBODA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45082</v>
      </c>
      <c r="E299" s="1" t="n">
        <v>46318</v>
      </c>
      <c r="F299" t="inlineStr">
        <is>
          <t>VÄSTRA GÖTALANDS LÄN</t>
        </is>
      </c>
      <c r="G299" t="inlineStr">
        <is>
          <t>TÖREBODA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46318</v>
      </c>
      <c r="F300" t="inlineStr">
        <is>
          <t>VÄSTRA GÖTALANDS LÄN</t>
        </is>
      </c>
      <c r="G300" t="inlineStr">
        <is>
          <t>TÖREBODA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8402-2024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46318</v>
      </c>
      <c r="F301" t="inlineStr">
        <is>
          <t>VÄSTRA GÖTALANDS LÄN</t>
        </is>
      </c>
      <c r="G301" t="inlineStr">
        <is>
          <t>TÖREBODA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46303</v>
      </c>
      <c r="E302" s="1" t="n">
        <v>46318</v>
      </c>
      <c r="F302" t="inlineStr">
        <is>
          <t>VÄSTRA GÖTALANDS LÄN</t>
        </is>
      </c>
      <c r="G302" t="inlineStr">
        <is>
          <t>TÖREBODA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46318</v>
      </c>
      <c r="F303" t="inlineStr">
        <is>
          <t>VÄSTRA GÖTALANDS LÄN</t>
        </is>
      </c>
      <c r="G303" t="inlineStr">
        <is>
          <t>TÖREBODA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45706</v>
      </c>
      <c r="E304" s="1" t="n">
        <v>46318</v>
      </c>
      <c r="F304" t="inlineStr">
        <is>
          <t>VÄSTRA GÖTALANDS LÄN</t>
        </is>
      </c>
      <c r="G304" t="inlineStr">
        <is>
          <t>TÖREBODA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46318</v>
      </c>
      <c r="F305" t="inlineStr">
        <is>
          <t>VÄSTRA GÖTALANDS LÄN</t>
        </is>
      </c>
      <c r="G305" t="inlineStr">
        <is>
          <t>TÖREBODA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45349</v>
      </c>
      <c r="E306" s="1" t="n">
        <v>46318</v>
      </c>
      <c r="F306" t="inlineStr">
        <is>
          <t>VÄSTRA GÖTALANDS LÄN</t>
        </is>
      </c>
      <c r="G306" t="inlineStr">
        <is>
          <t>TÖREBODA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46318</v>
      </c>
      <c r="F307" t="inlineStr">
        <is>
          <t>VÄSTRA GÖTALANDS LÄN</t>
        </is>
      </c>
      <c r="G307" t="inlineStr">
        <is>
          <t>TÖREBODA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45664</v>
      </c>
      <c r="E308" s="1" t="n">
        <v>46318</v>
      </c>
      <c r="F308" t="inlineStr">
        <is>
          <t>VÄSTRA GÖTALANDS LÄN</t>
        </is>
      </c>
      <c r="G308" t="inlineStr">
        <is>
          <t>TÖREBODA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46318</v>
      </c>
      <c r="F309" t="inlineStr">
        <is>
          <t>VÄSTRA GÖTALANDS LÄN</t>
        </is>
      </c>
      <c r="G309" t="inlineStr">
        <is>
          <t>TÖREBODA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45754</v>
      </c>
      <c r="E310" s="1" t="n">
        <v>46318</v>
      </c>
      <c r="F310" t="inlineStr">
        <is>
          <t>VÄSTRA GÖTALANDS LÄN</t>
        </is>
      </c>
      <c r="G310" t="inlineStr">
        <is>
          <t>TÖREBODA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46318</v>
      </c>
      <c r="F311" t="inlineStr">
        <is>
          <t>VÄSTRA GÖTALANDS LÄN</t>
        </is>
      </c>
      <c r="G311" t="inlineStr">
        <is>
          <t>TÖREBODA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46318</v>
      </c>
      <c r="F312" t="inlineStr">
        <is>
          <t>VÄSTRA GÖTALANDS LÄN</t>
        </is>
      </c>
      <c r="G312" t="inlineStr">
        <is>
          <t>TÖREBODA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46308</v>
      </c>
      <c r="E313" s="1" t="n">
        <v>46318</v>
      </c>
      <c r="F313" t="inlineStr">
        <is>
          <t>VÄSTRA GÖTALANDS LÄN</t>
        </is>
      </c>
      <c r="G313" t="inlineStr">
        <is>
          <t>TÖREBODA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45531</v>
      </c>
      <c r="E314" s="1" t="n">
        <v>46318</v>
      </c>
      <c r="F314" t="inlineStr">
        <is>
          <t>VÄSTRA GÖTALANDS LÄN</t>
        </is>
      </c>
      <c r="G314" t="inlineStr">
        <is>
          <t>TÖREBODA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42470-2026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46308</v>
      </c>
      <c r="E315" s="1" t="n">
        <v>46318</v>
      </c>
      <c r="F315" t="inlineStr">
        <is>
          <t>VÄSTRA GÖTALANDS LÄN</t>
        </is>
      </c>
      <c r="G315" t="inlineStr">
        <is>
          <t>TÖREBODA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46268</v>
      </c>
      <c r="E316" s="1" t="n">
        <v>46318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46268</v>
      </c>
      <c r="E317" s="1" t="n">
        <v>46318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46318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36393-2026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46268</v>
      </c>
      <c r="E319" s="1" t="n">
        <v>46318</v>
      </c>
      <c r="F319" t="inlineStr">
        <is>
          <t>VÄSTRA GÖTALANDS LÄN</t>
        </is>
      </c>
      <c r="G319" t="inlineStr">
        <is>
          <t>TÖREBODA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45096</v>
      </c>
      <c r="E320" s="1" t="n">
        <v>46318</v>
      </c>
      <c r="F320" t="inlineStr">
        <is>
          <t>VÄSTRA GÖTALANDS LÄN</t>
        </is>
      </c>
      <c r="G320" t="inlineStr">
        <is>
          <t>TÖREBODA</t>
        </is>
      </c>
      <c r="H320" t="inlineStr">
        <is>
          <t>Övriga statliga verk och myndigheter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44972</v>
      </c>
      <c r="E321" s="1" t="n">
        <v>46318</v>
      </c>
      <c r="F321" t="inlineStr">
        <is>
          <t>VÄSTRA GÖTALANDS LÄN</t>
        </is>
      </c>
      <c r="G321" t="inlineStr">
        <is>
          <t>TÖREBODA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45627</v>
      </c>
      <c r="E322" s="1" t="n">
        <v>46318</v>
      </c>
      <c r="F322" t="inlineStr">
        <is>
          <t>VÄSTRA GÖTALANDS LÄN</t>
        </is>
      </c>
      <c r="G322" t="inlineStr">
        <is>
          <t>TÖREBODA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44792</v>
      </c>
      <c r="E323" s="1" t="n">
        <v>46318</v>
      </c>
      <c r="F323" t="inlineStr">
        <is>
          <t>VÄSTRA GÖTALANDS LÄN</t>
        </is>
      </c>
      <c r="G323" t="inlineStr">
        <is>
          <t>TÖREBODA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46318</v>
      </c>
      <c r="F324" t="inlineStr">
        <is>
          <t>VÄSTRA GÖTALANDS LÄN</t>
        </is>
      </c>
      <c r="G324" t="inlineStr">
        <is>
          <t>TÖREBODA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45322</v>
      </c>
      <c r="E325" s="1" t="n">
        <v>46318</v>
      </c>
      <c r="F325" t="inlineStr">
        <is>
          <t>VÄSTRA GÖTALANDS LÄN</t>
        </is>
      </c>
      <c r="G325" t="inlineStr">
        <is>
          <t>TÖREBODA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11683-2024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45373</v>
      </c>
      <c r="E326" s="1" t="n">
        <v>46318</v>
      </c>
      <c r="F326" t="inlineStr">
        <is>
          <t>VÄSTRA GÖTALANDS LÄN</t>
        </is>
      </c>
      <c r="G326" t="inlineStr">
        <is>
          <t>TÖREBODA</t>
        </is>
      </c>
      <c r="I326" t="n">
        <v>23.8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44900</v>
      </c>
      <c r="E327" s="1" t="n">
        <v>46318</v>
      </c>
      <c r="F327" t="inlineStr">
        <is>
          <t>VÄSTRA GÖTALANDS LÄN</t>
        </is>
      </c>
      <c r="G327" t="inlineStr">
        <is>
          <t>TÖREBODA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46318</v>
      </c>
      <c r="F328" t="inlineStr">
        <is>
          <t>VÄSTRA GÖTALANDS LÄN</t>
        </is>
      </c>
      <c r="G328" t="inlineStr">
        <is>
          <t>TÖREBODA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45049</v>
      </c>
      <c r="E329" s="1" t="n">
        <v>46318</v>
      </c>
      <c r="F329" t="inlineStr">
        <is>
          <t>VÄSTRA GÖTALANDS LÄN</t>
        </is>
      </c>
      <c r="G329" t="inlineStr">
        <is>
          <t>TÖREBODA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45750</v>
      </c>
      <c r="E330" s="1" t="n">
        <v>46318</v>
      </c>
      <c r="F330" t="inlineStr">
        <is>
          <t>VÄSTRA GÖTALANDS LÄN</t>
        </is>
      </c>
      <c r="G330" t="inlineStr">
        <is>
          <t>TÖREBODA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45694</v>
      </c>
      <c r="E331" s="1" t="n">
        <v>46318</v>
      </c>
      <c r="F331" t="inlineStr">
        <is>
          <t>VÄSTRA GÖTALANDS LÄN</t>
        </is>
      </c>
      <c r="G331" t="inlineStr">
        <is>
          <t>TÖREBODA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45133</v>
      </c>
      <c r="E332" s="1" t="n">
        <v>46318</v>
      </c>
      <c r="F332" t="inlineStr">
        <is>
          <t>VÄSTRA GÖTALANDS LÄN</t>
        </is>
      </c>
      <c r="G332" t="inlineStr">
        <is>
          <t>TÖREBODA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277-2025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45685</v>
      </c>
      <c r="E333" s="1" t="n">
        <v>46318</v>
      </c>
      <c r="F333" t="inlineStr">
        <is>
          <t>VÄSTRA GÖTALANDS LÄN</t>
        </is>
      </c>
      <c r="G333" t="inlineStr">
        <is>
          <t>TÖREBODA</t>
        </is>
      </c>
      <c r="I333" t="n">
        <v>186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671-2025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45716</v>
      </c>
      <c r="E334" s="1" t="n">
        <v>46318</v>
      </c>
      <c r="F334" t="inlineStr">
        <is>
          <t>VÄSTRA GÖTALANDS LÄN</t>
        </is>
      </c>
      <c r="G334" t="inlineStr">
        <is>
          <t>TÖREBODA</t>
        </is>
      </c>
      <c r="I334" t="n">
        <v>56.1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670-2025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45716</v>
      </c>
      <c r="E335" s="1" t="n">
        <v>46318</v>
      </c>
      <c r="F335" t="inlineStr">
        <is>
          <t>VÄSTRA GÖTALANDS LÄN</t>
        </is>
      </c>
      <c r="G335" t="inlineStr">
        <is>
          <t>TÖREBODA</t>
        </is>
      </c>
      <c r="I335" t="n">
        <v>23.4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178-2026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46045</v>
      </c>
      <c r="E336" s="1" t="n">
        <v>46318</v>
      </c>
      <c r="F336" t="inlineStr">
        <is>
          <t>VÄSTRA GÖTALANDS LÄN</t>
        </is>
      </c>
      <c r="G336" t="inlineStr">
        <is>
          <t>TÖREBODA</t>
        </is>
      </c>
      <c r="I336" t="n">
        <v>12.5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2026-10-23T02:03:49Z</dcterms:created>
  <dcterms:modified xmlns:dcterms="http://purl.org/dc/terms/" xmlns:xsi="http://www.w3.org/2001/XMLSchema-instance" xsi:type="dcterms:W3CDTF">2026-10-23T02:03:49Z</dcterms:modified>
</cp:coreProperties>
</file>