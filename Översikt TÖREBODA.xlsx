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46278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46278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46278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46278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46278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46278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46278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46278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46278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46278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46278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46278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46278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46278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46278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46278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46278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46278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9985-2023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44985</v>
      </c>
      <c r="E22" s="1" t="n">
        <v>46278</v>
      </c>
      <c r="F22" t="inlineStr">
        <is>
          <t>VÄSTRA GÖTALANDS LÄN</t>
        </is>
      </c>
      <c r="G22" t="inlineStr">
        <is>
          <t>TÖREBODA</t>
        </is>
      </c>
      <c r="I22" t="n">
        <v>5.5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HYPERLINK("https://klasma.github.io/Logging_1473/artfynd/A 9985-2023 artfynd.xlsx", "A 9985-2023")</f>
        <v/>
      </c>
      <c r="X22">
        <f>HYPERLINK("https://klasma.github.io/Logging_1473/kartor/A 9985-2023 karta.png", "A 9985-2023")</f>
        <v/>
      </c>
      <c r="Y22">
        <f>HYPERLINK("https://klasma.github.io/Logging_1473/kartor_geotiff/A 9985-2023 georefererad karta.tif", "A 9985-2023")</f>
        <v/>
      </c>
      <c r="AA22">
        <f>HYPERLINK("https://klasma.github.io/Logging_1473/klagomål/A 9985-2023 FSC-klagomål.docx", "A 9985-2023")</f>
        <v/>
      </c>
      <c r="AB22">
        <f>HYPERLINK("https://klasma.github.io/Logging_1473/klagomålsmail/A 9985-2023 FSC-klagomål mail.docx", "A 9985-2023")</f>
        <v/>
      </c>
      <c r="AC22">
        <f>HYPERLINK("https://klasma.github.io/Logging_1473/tillsyn/A 9985-2023 tillsynsbegäran.docx", "A 9985-2023")</f>
        <v/>
      </c>
      <c r="AD22">
        <f>HYPERLINK("https://klasma.github.io/Logging_1473/tillsynsmail/A 9985-2023 tillsynsbegäran mail.docx", "A 9985-2023")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46278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46278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46278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46278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46278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39894-2023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46278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HYPERLINK("https://klasma.github.io/Logging_1473/artfynd/A 39894-2023 artfynd.xlsx", "A 39894-2023")</f>
        <v/>
      </c>
      <c r="X28">
        <f>HYPERLINK("https://klasma.github.io/Logging_1473/kartor/A 39894-2023 karta.png", "A 39894-2023")</f>
        <v/>
      </c>
      <c r="Y28">
        <f>HYPERLINK("https://klasma.github.io/Logging_1473/kartor_geotiff/A 39894-2023 georefererad karta.tif", "A 39894-2023")</f>
        <v/>
      </c>
      <c r="AA28">
        <f>HYPERLINK("https://klasma.github.io/Logging_1473/klagomål/A 39894-2023 FSC-klagomål.docx", "A 39894-2023")</f>
        <v/>
      </c>
      <c r="AB28">
        <f>HYPERLINK("https://klasma.github.io/Logging_1473/klagomålsmail/A 39894-2023 FSC-klagomål mail.docx", "A 39894-2023")</f>
        <v/>
      </c>
      <c r="AC28">
        <f>HYPERLINK("https://klasma.github.io/Logging_1473/tillsyn/A 39894-2023 tillsynsbegäran.docx", "A 39894-2023")</f>
        <v/>
      </c>
      <c r="AD28">
        <f>HYPERLINK("https://klasma.github.io/Logging_1473/tillsynsmail/A 39894-2023 tillsynsbegäran mail.docx", "A 39894-2023")</f>
        <v/>
      </c>
      <c r="AE28">
        <f>HYPERLINK("https://klasma.github.io/Logging_1473/fåglar/A 39894-2023 prioriterade fågelarter.docx", "A 39894-2023")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46278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46278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46278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46278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46278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46278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46278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49535-2021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44454</v>
      </c>
      <c r="E36" s="1" t="n">
        <v>46278</v>
      </c>
      <c r="F36" t="inlineStr">
        <is>
          <t>VÄSTRA GÖTALANDS LÄN</t>
        </is>
      </c>
      <c r="G36" t="inlineStr">
        <is>
          <t>TÖREBODA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46278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46278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46278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46278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46278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46278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46278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46278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46278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46278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46278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46278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46278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46278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46278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46278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46278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46278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46278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46278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46278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46278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46278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46278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46278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46278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46278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46278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46278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Kommuner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46278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46278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46278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46278</v>
      </c>
      <c r="F69" t="inlineStr">
        <is>
          <t>VÄSTRA GÖTALANDS LÄN</t>
        </is>
      </c>
      <c r="G69" t="inlineStr">
        <is>
          <t>TÖREBODA</t>
        </is>
      </c>
      <c r="I69" t="n">
        <v>23.8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45460</v>
      </c>
      <c r="E70" s="1" t="n">
        <v>46278</v>
      </c>
      <c r="F70" t="inlineStr">
        <is>
          <t>VÄSTRA GÖTALANDS LÄN</t>
        </is>
      </c>
      <c r="G70" t="inlineStr">
        <is>
          <t>TÖREBODA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45373</v>
      </c>
      <c r="E71" s="1" t="n">
        <v>46278</v>
      </c>
      <c r="F71" t="inlineStr">
        <is>
          <t>VÄSTRA GÖTALANDS LÄN</t>
        </is>
      </c>
      <c r="G71" t="inlineStr">
        <is>
          <t>TÖREBODA</t>
        </is>
      </c>
      <c r="I71" t="n">
        <v>12.3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46278</v>
      </c>
      <c r="F72" t="inlineStr">
        <is>
          <t>VÄSTRA GÖTALANDS LÄN</t>
        </is>
      </c>
      <c r="G72" t="inlineStr">
        <is>
          <t>TÖREBODA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46278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46278</v>
      </c>
      <c r="F74" t="inlineStr">
        <is>
          <t>VÄSTRA GÖTALANDS LÄN</t>
        </is>
      </c>
      <c r="G74" t="inlineStr">
        <is>
          <t>TÖREBODA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44868</v>
      </c>
      <c r="E75" s="1" t="n">
        <v>46278</v>
      </c>
      <c r="F75" t="inlineStr">
        <is>
          <t>VÄSTRA GÖTALANDS LÄN</t>
        </is>
      </c>
      <c r="G75" t="inlineStr">
        <is>
          <t>TÖREBODA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46278</v>
      </c>
      <c r="F76" t="inlineStr">
        <is>
          <t>VÄSTRA GÖTALANDS LÄN</t>
        </is>
      </c>
      <c r="G76" t="inlineStr">
        <is>
          <t>TÖREBODA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46278</v>
      </c>
      <c r="F77" t="inlineStr">
        <is>
          <t>VÄSTRA GÖTALANDS LÄN</t>
        </is>
      </c>
      <c r="G77" t="inlineStr">
        <is>
          <t>TÖREBODA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46278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46278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45341</v>
      </c>
      <c r="E80" s="1" t="n">
        <v>46278</v>
      </c>
      <c r="F80" t="inlineStr">
        <is>
          <t>VÄSTRA GÖTALANDS LÄN</t>
        </is>
      </c>
      <c r="G80" t="inlineStr">
        <is>
          <t>TÖREBODA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45481</v>
      </c>
      <c r="E81" s="1" t="n">
        <v>46278</v>
      </c>
      <c r="F81" t="inlineStr">
        <is>
          <t>VÄSTRA GÖTALANDS LÄN</t>
        </is>
      </c>
      <c r="G81" t="inlineStr">
        <is>
          <t>TÖREBODA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46278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46278</v>
      </c>
      <c r="F83" t="inlineStr">
        <is>
          <t>VÄSTRA GÖTALANDS LÄN</t>
        </is>
      </c>
      <c r="G83" t="inlineStr">
        <is>
          <t>TÖREBODA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46278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46278</v>
      </c>
      <c r="F85" t="inlineStr">
        <is>
          <t>VÄSTRA GÖTALANDS LÄN</t>
        </is>
      </c>
      <c r="G85" t="inlineStr">
        <is>
          <t>TÖREBODA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46278</v>
      </c>
      <c r="F86" t="inlineStr">
        <is>
          <t>VÄSTRA GÖTALANDS LÄN</t>
        </is>
      </c>
      <c r="G86" t="inlineStr">
        <is>
          <t>TÖREBODA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58013-2022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44900</v>
      </c>
      <c r="E87" s="1" t="n">
        <v>46278</v>
      </c>
      <c r="F87" t="inlineStr">
        <is>
          <t>VÄSTRA GÖTALANDS LÄN</t>
        </is>
      </c>
      <c r="G87" t="inlineStr">
        <is>
          <t>TÖREBODA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46278</v>
      </c>
      <c r="F88" t="inlineStr">
        <is>
          <t>VÄSTRA GÖTALANDS LÄN</t>
        </is>
      </c>
      <c r="G88" t="inlineStr">
        <is>
          <t>TÖREBODA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46278</v>
      </c>
      <c r="F89" t="inlineStr">
        <is>
          <t>VÄSTRA GÖTALANDS LÄN</t>
        </is>
      </c>
      <c r="G89" t="inlineStr">
        <is>
          <t>TÖREBODA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44958</v>
      </c>
      <c r="E90" s="1" t="n">
        <v>46278</v>
      </c>
      <c r="F90" t="inlineStr">
        <is>
          <t>VÄSTRA GÖTALANDS LÄN</t>
        </is>
      </c>
      <c r="G90" t="inlineStr">
        <is>
          <t>TÖREBODA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46278</v>
      </c>
      <c r="F91" t="inlineStr">
        <is>
          <t>VÄSTRA GÖTALANDS LÄN</t>
        </is>
      </c>
      <c r="G91" t="inlineStr">
        <is>
          <t>TÖREBODA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46278</v>
      </c>
      <c r="F92" t="inlineStr">
        <is>
          <t>VÄSTRA GÖTALANDS LÄN</t>
        </is>
      </c>
      <c r="G92" t="inlineStr">
        <is>
          <t>TÖREBODA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45569</v>
      </c>
      <c r="E93" s="1" t="n">
        <v>46278</v>
      </c>
      <c r="F93" t="inlineStr">
        <is>
          <t>VÄSTRA GÖTALANDS LÄN</t>
        </is>
      </c>
      <c r="G93" t="inlineStr">
        <is>
          <t>TÖREBODA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45399</v>
      </c>
      <c r="E94" s="1" t="n">
        <v>46278</v>
      </c>
      <c r="F94" t="inlineStr">
        <is>
          <t>VÄSTRA GÖTALANDS LÄN</t>
        </is>
      </c>
      <c r="G94" t="inlineStr">
        <is>
          <t>TÖREBODA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46278</v>
      </c>
      <c r="F95" t="inlineStr">
        <is>
          <t>VÄSTRA GÖTALANDS LÄN</t>
        </is>
      </c>
      <c r="G95" t="inlineStr">
        <is>
          <t>TÖREBODA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46278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44698</v>
      </c>
      <c r="E97" s="1" t="n">
        <v>46278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46278</v>
      </c>
      <c r="F98" t="inlineStr">
        <is>
          <t>VÄSTRA GÖTALANDS LÄN</t>
        </is>
      </c>
      <c r="G98" t="inlineStr">
        <is>
          <t>TÖREBODA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46278</v>
      </c>
      <c r="F99" t="inlineStr">
        <is>
          <t>VÄSTRA GÖTALANDS LÄN</t>
        </is>
      </c>
      <c r="G99" t="inlineStr">
        <is>
          <t>TÖREBODA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45885</v>
      </c>
      <c r="E100" s="1" t="n">
        <v>46278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38706-2025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45885</v>
      </c>
      <c r="E101" s="1" t="n">
        <v>46278</v>
      </c>
      <c r="F101" t="inlineStr">
        <is>
          <t>VÄSTRA GÖTALANDS LÄN</t>
        </is>
      </c>
      <c r="G101" t="inlineStr">
        <is>
          <t>TÖREBODA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46278</v>
      </c>
      <c r="F102" t="inlineStr">
        <is>
          <t>VÄSTRA GÖTALANDS LÄN</t>
        </is>
      </c>
      <c r="G102" t="inlineStr">
        <is>
          <t>TÖREBODA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46278</v>
      </c>
      <c r="F103" t="inlineStr">
        <is>
          <t>VÄSTRA GÖTALANDS LÄN</t>
        </is>
      </c>
      <c r="G103" t="inlineStr">
        <is>
          <t>TÖREBODA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46278</v>
      </c>
      <c r="F104" t="inlineStr">
        <is>
          <t>VÄSTRA GÖTALANDS LÄN</t>
        </is>
      </c>
      <c r="G104" t="inlineStr">
        <is>
          <t>TÖREBODA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46278</v>
      </c>
      <c r="F105" t="inlineStr">
        <is>
          <t>VÄSTRA GÖTALANDS LÄN</t>
        </is>
      </c>
      <c r="G105" t="inlineStr">
        <is>
          <t>TÖREBODA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44923</v>
      </c>
      <c r="E106" s="1" t="n">
        <v>46278</v>
      </c>
      <c r="F106" t="inlineStr">
        <is>
          <t>VÄSTRA GÖTALANDS LÄN</t>
        </is>
      </c>
      <c r="G106" t="inlineStr">
        <is>
          <t>TÖREBODA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46278</v>
      </c>
      <c r="F107" t="inlineStr">
        <is>
          <t>VÄSTRA GÖTALANDS LÄN</t>
        </is>
      </c>
      <c r="G107" t="inlineStr">
        <is>
          <t>TÖREBODA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46278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46278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46278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46278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46278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46278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46278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46278</v>
      </c>
      <c r="F115" t="inlineStr">
        <is>
          <t>VÄSTRA GÖTALANDS LÄN</t>
        </is>
      </c>
      <c r="G115" t="inlineStr">
        <is>
          <t>TÖREBODA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46278</v>
      </c>
      <c r="F116" t="inlineStr">
        <is>
          <t>VÄSTRA GÖTALANDS LÄN</t>
        </is>
      </c>
      <c r="G116" t="inlineStr">
        <is>
          <t>TÖREBODA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46278</v>
      </c>
      <c r="F117" t="inlineStr">
        <is>
          <t>VÄSTRA GÖTALANDS LÄN</t>
        </is>
      </c>
      <c r="G117" t="inlineStr">
        <is>
          <t>TÖREBODA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46278</v>
      </c>
      <c r="F118" t="inlineStr">
        <is>
          <t>VÄSTRA GÖTALANDS LÄN</t>
        </is>
      </c>
      <c r="G118" t="inlineStr">
        <is>
          <t>TÖREBODA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46278</v>
      </c>
      <c r="F119" t="inlineStr">
        <is>
          <t>VÄSTRA GÖTALANDS LÄN</t>
        </is>
      </c>
      <c r="G119" t="inlineStr">
        <is>
          <t>TÖREBODA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46278</v>
      </c>
      <c r="F120" t="inlineStr">
        <is>
          <t>VÄSTRA GÖTALANDS LÄN</t>
        </is>
      </c>
      <c r="G120" t="inlineStr">
        <is>
          <t>TÖREBODA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46278</v>
      </c>
      <c r="F121" t="inlineStr">
        <is>
          <t>VÄSTRA GÖTALANDS LÄN</t>
        </is>
      </c>
      <c r="G121" t="inlineStr">
        <is>
          <t>TÖREBODA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46278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45915</v>
      </c>
      <c r="E123" s="1" t="n">
        <v>46278</v>
      </c>
      <c r="F123" t="inlineStr">
        <is>
          <t>VÄSTRA GÖTALANDS LÄN</t>
        </is>
      </c>
      <c r="G123" t="inlineStr">
        <is>
          <t>TÖREBODA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46278</v>
      </c>
      <c r="F124" t="inlineStr">
        <is>
          <t>VÄSTRA GÖTALANDS LÄN</t>
        </is>
      </c>
      <c r="G124" t="inlineStr">
        <is>
          <t>TÖREBODA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46278</v>
      </c>
      <c r="F125" t="inlineStr">
        <is>
          <t>VÄSTRA GÖTALANDS LÄN</t>
        </is>
      </c>
      <c r="G125" t="inlineStr">
        <is>
          <t>TÖREBODA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46278</v>
      </c>
      <c r="F126" t="inlineStr">
        <is>
          <t>VÄSTRA GÖTALANDS LÄN</t>
        </is>
      </c>
      <c r="G126" t="inlineStr">
        <is>
          <t>TÖREBODA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46278</v>
      </c>
      <c r="F127" t="inlineStr">
        <is>
          <t>VÄSTRA GÖTALANDS LÄN</t>
        </is>
      </c>
      <c r="G127" t="inlineStr">
        <is>
          <t>TÖREBODA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44853</v>
      </c>
      <c r="E128" s="1" t="n">
        <v>46278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45077</v>
      </c>
      <c r="E129" s="1" t="n">
        <v>46278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46278</v>
      </c>
      <c r="F130" t="inlineStr">
        <is>
          <t>VÄSTRA GÖTALANDS LÄN</t>
        </is>
      </c>
      <c r="G130" t="inlineStr">
        <is>
          <t>TÖREBODA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46278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44483</v>
      </c>
      <c r="E132" s="1" t="n">
        <v>46278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46278</v>
      </c>
      <c r="F133" t="inlineStr">
        <is>
          <t>VÄSTRA GÖTALANDS LÄN</t>
        </is>
      </c>
      <c r="G133" t="inlineStr">
        <is>
          <t>TÖREBODA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44987</v>
      </c>
      <c r="E134" s="1" t="n">
        <v>46278</v>
      </c>
      <c r="F134" t="inlineStr">
        <is>
          <t>VÄSTRA GÖTALANDS LÄN</t>
        </is>
      </c>
      <c r="G134" t="inlineStr">
        <is>
          <t>TÖREBODA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46278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45627</v>
      </c>
      <c r="E136" s="1" t="n">
        <v>46278</v>
      </c>
      <c r="F136" t="inlineStr">
        <is>
          <t>VÄSTRA GÖTALANDS LÄN</t>
        </is>
      </c>
      <c r="G136" t="inlineStr">
        <is>
          <t>TÖREBODA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46278</v>
      </c>
      <c r="F137" t="inlineStr">
        <is>
          <t>VÄSTRA GÖTALANDS LÄN</t>
        </is>
      </c>
      <c r="G137" t="inlineStr">
        <is>
          <t>TÖREBODA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46278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46278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46278</v>
      </c>
      <c r="F140" t="inlineStr">
        <is>
          <t>VÄSTRA GÖTALANDS LÄN</t>
        </is>
      </c>
      <c r="G140" t="inlineStr">
        <is>
          <t>TÖREBODA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45664</v>
      </c>
      <c r="E141" s="1" t="n">
        <v>46278</v>
      </c>
      <c r="F141" t="inlineStr">
        <is>
          <t>VÄSTRA GÖTALANDS LÄN</t>
        </is>
      </c>
      <c r="G141" t="inlineStr">
        <is>
          <t>TÖREBODA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46278</v>
      </c>
      <c r="F142" t="inlineStr">
        <is>
          <t>VÄSTRA GÖTALANDS LÄN</t>
        </is>
      </c>
      <c r="G142" t="inlineStr">
        <is>
          <t>TÖREBODA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6442-2025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45699</v>
      </c>
      <c r="E143" s="1" t="n">
        <v>46278</v>
      </c>
      <c r="F143" t="inlineStr">
        <is>
          <t>VÄSTRA GÖTALANDS LÄN</t>
        </is>
      </c>
      <c r="G143" t="inlineStr">
        <is>
          <t>TÖREBODA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32463-2022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44782</v>
      </c>
      <c r="E144" s="1" t="n">
        <v>46278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46278</v>
      </c>
      <c r="F145" t="inlineStr">
        <is>
          <t>VÄSTRA GÖTALANDS LÄN</t>
        </is>
      </c>
      <c r="G145" t="inlineStr">
        <is>
          <t>TÖREBODA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44756</v>
      </c>
      <c r="E146" s="1" t="n">
        <v>46278</v>
      </c>
      <c r="F146" t="inlineStr">
        <is>
          <t>VÄSTRA GÖTALANDS LÄN</t>
        </is>
      </c>
      <c r="G146" t="inlineStr">
        <is>
          <t>TÖREBODA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46278</v>
      </c>
      <c r="F147" t="inlineStr">
        <is>
          <t>VÄSTRA GÖTALANDS LÄN</t>
        </is>
      </c>
      <c r="G147" t="inlineStr">
        <is>
          <t>TÖREBODA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46278</v>
      </c>
      <c r="F148" t="inlineStr">
        <is>
          <t>VÄSTRA GÖTALANDS LÄN</t>
        </is>
      </c>
      <c r="G148" t="inlineStr">
        <is>
          <t>TÖREBODA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46278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15567-2026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46106</v>
      </c>
      <c r="E150" s="1" t="n">
        <v>46278</v>
      </c>
      <c r="F150" t="inlineStr">
        <is>
          <t>VÄSTRA GÖTALANDS LÄN</t>
        </is>
      </c>
      <c r="G150" t="inlineStr">
        <is>
          <t>TÖREBODA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46278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46278</v>
      </c>
      <c r="F152" t="inlineStr">
        <is>
          <t>VÄSTRA GÖTALANDS LÄN</t>
        </is>
      </c>
      <c r="G152" t="inlineStr">
        <is>
          <t>TÖREBODA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46278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55593-2025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45971</v>
      </c>
      <c r="E154" s="1" t="n">
        <v>46278</v>
      </c>
      <c r="F154" t="inlineStr">
        <is>
          <t>VÄSTRA GÖTALANDS LÄN</t>
        </is>
      </c>
      <c r="G154" t="inlineStr">
        <is>
          <t>TÖREBODA</t>
        </is>
      </c>
      <c r="I154" t="n">
        <v>20.8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46278</v>
      </c>
      <c r="F155" t="inlineStr">
        <is>
          <t>VÄSTRA GÖTALANDS LÄN</t>
        </is>
      </c>
      <c r="G155" t="inlineStr">
        <is>
          <t>TÖREBODA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45643</v>
      </c>
      <c r="E156" s="1" t="n">
        <v>46278</v>
      </c>
      <c r="F156" t="inlineStr">
        <is>
          <t>VÄSTRA GÖTALANDS LÄN</t>
        </is>
      </c>
      <c r="G156" t="inlineStr">
        <is>
          <t>TÖREBODA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46278</v>
      </c>
      <c r="F157" t="inlineStr">
        <is>
          <t>VÄSTRA GÖTALANDS LÄN</t>
        </is>
      </c>
      <c r="G157" t="inlineStr">
        <is>
          <t>TÖREBODA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46278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46278</v>
      </c>
      <c r="F159" t="inlineStr">
        <is>
          <t>VÄSTRA GÖTALANDS LÄN</t>
        </is>
      </c>
      <c r="G159" t="inlineStr">
        <is>
          <t>TÖREBODA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55766-2025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45972</v>
      </c>
      <c r="E160" s="1" t="n">
        <v>46278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46278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46278</v>
      </c>
      <c r="F162" t="inlineStr">
        <is>
          <t>VÄSTRA GÖTALANDS LÄN</t>
        </is>
      </c>
      <c r="G162" t="inlineStr">
        <is>
          <t>TÖREBODA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46278</v>
      </c>
      <c r="F163" t="inlineStr">
        <is>
          <t>VÄSTRA GÖTALANDS LÄN</t>
        </is>
      </c>
      <c r="G163" t="inlineStr">
        <is>
          <t>TÖREBODA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45425</v>
      </c>
      <c r="E164" s="1" t="n">
        <v>46278</v>
      </c>
      <c r="F164" t="inlineStr">
        <is>
          <t>VÄSTRA GÖTALANDS LÄN</t>
        </is>
      </c>
      <c r="G164" t="inlineStr">
        <is>
          <t>TÖREBODA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46278</v>
      </c>
      <c r="F165" t="inlineStr">
        <is>
          <t>VÄSTRA GÖTALANDS LÄN</t>
        </is>
      </c>
      <c r="G165" t="inlineStr">
        <is>
          <t>TÖREBODA</t>
        </is>
      </c>
      <c r="I165" t="n">
        <v>49.4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46278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46278</v>
      </c>
      <c r="F167" t="inlineStr">
        <is>
          <t>VÄSTRA GÖTALANDS LÄN</t>
        </is>
      </c>
      <c r="G167" t="inlineStr">
        <is>
          <t>TÖREBODA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46278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Övriga statliga verk och myndigheter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46278</v>
      </c>
      <c r="F169" t="inlineStr">
        <is>
          <t>VÄSTRA GÖTALANDS LÄN</t>
        </is>
      </c>
      <c r="G169" t="inlineStr">
        <is>
          <t>TÖREBODA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46278</v>
      </c>
      <c r="F170" t="inlineStr">
        <is>
          <t>VÄSTRA GÖTALANDS LÄN</t>
        </is>
      </c>
      <c r="G170" t="inlineStr">
        <is>
          <t>TÖREBODA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19706-2026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46134</v>
      </c>
      <c r="E171" s="1" t="n">
        <v>46278</v>
      </c>
      <c r="F171" t="inlineStr">
        <is>
          <t>VÄSTRA GÖTALANDS LÄN</t>
        </is>
      </c>
      <c r="G171" t="inlineStr">
        <is>
          <t>TÖREBODA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44890</v>
      </c>
      <c r="E172" s="1" t="n">
        <v>46278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Övriga statliga verk och myndigheter</t>
        </is>
      </c>
      <c r="I172" t="n">
        <v>12.6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45750</v>
      </c>
      <c r="E173" s="1" t="n">
        <v>46278</v>
      </c>
      <c r="F173" t="inlineStr">
        <is>
          <t>VÄSTRA GÖTALANDS LÄN</t>
        </is>
      </c>
      <c r="G173" t="inlineStr">
        <is>
          <t>TÖREBODA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46278</v>
      </c>
      <c r="F174" t="inlineStr">
        <is>
          <t>VÄSTRA GÖTALANDS LÄN</t>
        </is>
      </c>
      <c r="G174" t="inlineStr">
        <is>
          <t>TÖREBODA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46009</v>
      </c>
      <c r="E175" s="1" t="n">
        <v>46278</v>
      </c>
      <c r="F175" t="inlineStr">
        <is>
          <t>VÄSTRA GÖTALANDS LÄN</t>
        </is>
      </c>
      <c r="G175" t="inlineStr">
        <is>
          <t>TÖREBODA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46278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46278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46278</v>
      </c>
      <c r="F178" t="inlineStr">
        <is>
          <t>VÄSTRA GÖTALANDS LÄN</t>
        </is>
      </c>
      <c r="G178" t="inlineStr">
        <is>
          <t>TÖREBODA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46278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45142</v>
      </c>
      <c r="E180" s="1" t="n">
        <v>46278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45309</v>
      </c>
      <c r="E181" s="1" t="n">
        <v>46278</v>
      </c>
      <c r="F181" t="inlineStr">
        <is>
          <t>VÄSTRA GÖTALANDS LÄN</t>
        </is>
      </c>
      <c r="G181" t="inlineStr">
        <is>
          <t>TÖREBODA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46278</v>
      </c>
      <c r="F182" t="inlineStr">
        <is>
          <t>VÄSTRA GÖTALANDS LÄN</t>
        </is>
      </c>
      <c r="G182" t="inlineStr">
        <is>
          <t>TÖREBODA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46278</v>
      </c>
      <c r="F183" t="inlineStr">
        <is>
          <t>VÄSTRA GÖTALANDS LÄN</t>
        </is>
      </c>
      <c r="G183" t="inlineStr">
        <is>
          <t>TÖREBODA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46057</v>
      </c>
      <c r="E184" s="1" t="n">
        <v>46278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46278</v>
      </c>
      <c r="F185" t="inlineStr">
        <is>
          <t>VÄSTRA GÖTALANDS LÄN</t>
        </is>
      </c>
      <c r="G185" t="inlineStr">
        <is>
          <t>TÖREBODA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46278</v>
      </c>
      <c r="F186" t="inlineStr">
        <is>
          <t>VÄSTRA GÖTALANDS LÄN</t>
        </is>
      </c>
      <c r="G186" t="inlineStr">
        <is>
          <t>TÖREBODA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46278</v>
      </c>
      <c r="F187" t="inlineStr">
        <is>
          <t>VÄSTRA GÖTALANDS LÄN</t>
        </is>
      </c>
      <c r="G187" t="inlineStr">
        <is>
          <t>TÖREBODA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46278</v>
      </c>
      <c r="F188" t="inlineStr">
        <is>
          <t>VÄSTRA GÖTALANDS LÄN</t>
        </is>
      </c>
      <c r="G188" t="inlineStr">
        <is>
          <t>TÖREBODA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45556</v>
      </c>
      <c r="E189" s="1" t="n">
        <v>46278</v>
      </c>
      <c r="F189" t="inlineStr">
        <is>
          <t>VÄSTRA GÖTALANDS LÄN</t>
        </is>
      </c>
      <c r="G189" t="inlineStr">
        <is>
          <t>TÖREBODA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46278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54621-2021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44473</v>
      </c>
      <c r="E191" s="1" t="n">
        <v>46278</v>
      </c>
      <c r="F191" t="inlineStr">
        <is>
          <t>VÄSTRA GÖTALANDS LÄN</t>
        </is>
      </c>
      <c r="G191" t="inlineStr">
        <is>
          <t>TÖREBODA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46278</v>
      </c>
      <c r="F192" t="inlineStr">
        <is>
          <t>VÄSTRA GÖTALANDS LÄN</t>
        </is>
      </c>
      <c r="G192" t="inlineStr">
        <is>
          <t>TÖREBODA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45457</v>
      </c>
      <c r="E193" s="1" t="n">
        <v>46278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46278</v>
      </c>
      <c r="F194" t="inlineStr">
        <is>
          <t>VÄSTRA GÖTALANDS LÄN</t>
        </is>
      </c>
      <c r="G194" t="inlineStr">
        <is>
          <t>TÖREBODA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46278</v>
      </c>
      <c r="F195" t="inlineStr">
        <is>
          <t>VÄSTRA GÖTALANDS LÄN</t>
        </is>
      </c>
      <c r="G195" t="inlineStr">
        <is>
          <t>TÖREBODA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46278</v>
      </c>
      <c r="F196" t="inlineStr">
        <is>
          <t>VÄSTRA GÖTALANDS LÄN</t>
        </is>
      </c>
      <c r="G196" t="inlineStr">
        <is>
          <t>TÖREBODA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46146</v>
      </c>
      <c r="E197" s="1" t="n">
        <v>46278</v>
      </c>
      <c r="F197" t="inlineStr">
        <is>
          <t>VÄSTRA GÖTALANDS LÄN</t>
        </is>
      </c>
      <c r="G197" t="inlineStr">
        <is>
          <t>TÖREBODA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46278</v>
      </c>
      <c r="F198" t="inlineStr">
        <is>
          <t>VÄSTRA GÖTALANDS LÄN</t>
        </is>
      </c>
      <c r="G198" t="inlineStr">
        <is>
          <t>TÖREBODA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44664</v>
      </c>
      <c r="E199" s="1" t="n">
        <v>46278</v>
      </c>
      <c r="F199" t="inlineStr">
        <is>
          <t>VÄSTRA GÖTALANDS LÄN</t>
        </is>
      </c>
      <c r="G199" t="inlineStr">
        <is>
          <t>TÖREBODA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46278</v>
      </c>
      <c r="F200" t="inlineStr">
        <is>
          <t>VÄSTRA GÖTALANDS LÄN</t>
        </is>
      </c>
      <c r="G200" t="inlineStr">
        <is>
          <t>TÖREBODA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45328</v>
      </c>
      <c r="E201" s="1" t="n">
        <v>46278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46152</v>
      </c>
      <c r="E202" s="1" t="n">
        <v>46278</v>
      </c>
      <c r="F202" t="inlineStr">
        <is>
          <t>VÄSTRA GÖTALANDS LÄN</t>
        </is>
      </c>
      <c r="G202" t="inlineStr">
        <is>
          <t>TÖREBODA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46152</v>
      </c>
      <c r="E203" s="1" t="n">
        <v>46278</v>
      </c>
      <c r="F203" t="inlineStr">
        <is>
          <t>VÄSTRA GÖTALANDS LÄN</t>
        </is>
      </c>
      <c r="G203" t="inlineStr">
        <is>
          <t>TÖREBODA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46152</v>
      </c>
      <c r="E204" s="1" t="n">
        <v>46278</v>
      </c>
      <c r="F204" t="inlineStr">
        <is>
          <t>VÄSTRA GÖTALANDS LÄN</t>
        </is>
      </c>
      <c r="G204" t="inlineStr">
        <is>
          <t>TÖREBODA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46152</v>
      </c>
      <c r="E205" s="1" t="n">
        <v>46278</v>
      </c>
      <c r="F205" t="inlineStr">
        <is>
          <t>VÄSTRA GÖTALANDS LÄN</t>
        </is>
      </c>
      <c r="G205" t="inlineStr">
        <is>
          <t>TÖREBODA</t>
        </is>
      </c>
      <c r="I205" t="n">
        <v>8.699999999999999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46152</v>
      </c>
      <c r="E206" s="1" t="n">
        <v>46278</v>
      </c>
      <c r="F206" t="inlineStr">
        <is>
          <t>VÄSTRA GÖTALANDS LÄN</t>
        </is>
      </c>
      <c r="G206" t="inlineStr">
        <is>
          <t>TÖREBODA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46152</v>
      </c>
      <c r="E207" s="1" t="n">
        <v>46278</v>
      </c>
      <c r="F207" t="inlineStr">
        <is>
          <t>VÄSTRA GÖTALANDS LÄN</t>
        </is>
      </c>
      <c r="G207" t="inlineStr">
        <is>
          <t>TÖREBODA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46152</v>
      </c>
      <c r="E208" s="1" t="n">
        <v>46278</v>
      </c>
      <c r="F208" t="inlineStr">
        <is>
          <t>VÄSTRA GÖTALANDS LÄN</t>
        </is>
      </c>
      <c r="G208" t="inlineStr">
        <is>
          <t>TÖREBODA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46152</v>
      </c>
      <c r="E209" s="1" t="n">
        <v>46278</v>
      </c>
      <c r="F209" t="inlineStr">
        <is>
          <t>VÄSTRA GÖTALANDS LÄN</t>
        </is>
      </c>
      <c r="G209" t="inlineStr">
        <is>
          <t>TÖREBODA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46278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Övriga Aktiebolag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46278</v>
      </c>
      <c r="F211" t="inlineStr">
        <is>
          <t>VÄSTRA GÖTALANDS LÄN</t>
        </is>
      </c>
      <c r="G211" t="inlineStr">
        <is>
          <t>TÖREBODA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46278</v>
      </c>
      <c r="F212" t="inlineStr">
        <is>
          <t>VÄSTRA GÖTALANDS LÄN</t>
        </is>
      </c>
      <c r="G212" t="inlineStr">
        <is>
          <t>TÖREBODA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45236</v>
      </c>
      <c r="E213" s="1" t="n">
        <v>46278</v>
      </c>
      <c r="F213" t="inlineStr">
        <is>
          <t>VÄSTRA GÖTALANDS LÄN</t>
        </is>
      </c>
      <c r="G213" t="inlineStr">
        <is>
          <t>TÖREBODA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45191</v>
      </c>
      <c r="E214" s="1" t="n">
        <v>46278</v>
      </c>
      <c r="F214" t="inlineStr">
        <is>
          <t>VÄSTRA GÖTALANDS LÄN</t>
        </is>
      </c>
      <c r="G214" t="inlineStr">
        <is>
          <t>TÖREBODA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46278</v>
      </c>
      <c r="F215" t="inlineStr">
        <is>
          <t>VÄSTRA GÖTALANDS LÄN</t>
        </is>
      </c>
      <c r="G215" t="inlineStr">
        <is>
          <t>TÖREBODA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45156</v>
      </c>
      <c r="E216" s="1" t="n">
        <v>46278</v>
      </c>
      <c r="F216" t="inlineStr">
        <is>
          <t>VÄSTRA GÖTALANDS LÄN</t>
        </is>
      </c>
      <c r="G216" t="inlineStr">
        <is>
          <t>TÖREBODA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46168</v>
      </c>
      <c r="E217" s="1" t="n">
        <v>46278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46168</v>
      </c>
      <c r="E218" s="1" t="n">
        <v>46278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Sveaskog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45531</v>
      </c>
      <c r="E219" s="1" t="n">
        <v>46278</v>
      </c>
      <c r="F219" t="inlineStr">
        <is>
          <t>VÄSTRA GÖTALANDS LÄN</t>
        </is>
      </c>
      <c r="G219" t="inlineStr">
        <is>
          <t>TÖREBODA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46278</v>
      </c>
      <c r="F220" t="inlineStr">
        <is>
          <t>VÄSTRA GÖTALANDS LÄN</t>
        </is>
      </c>
      <c r="G220" t="inlineStr">
        <is>
          <t>TÖREBODA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46278</v>
      </c>
      <c r="F221" t="inlineStr">
        <is>
          <t>VÄSTRA GÖTALANDS LÄN</t>
        </is>
      </c>
      <c r="G221" t="inlineStr">
        <is>
          <t>TÖREBODA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46278</v>
      </c>
      <c r="F222" t="inlineStr">
        <is>
          <t>VÄSTRA GÖTALANDS LÄN</t>
        </is>
      </c>
      <c r="G222" t="inlineStr">
        <is>
          <t>TÖREBODA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46278</v>
      </c>
      <c r="F223" t="inlineStr">
        <is>
          <t>VÄSTRA GÖTALANDS LÄN</t>
        </is>
      </c>
      <c r="G223" t="inlineStr">
        <is>
          <t>TÖREBODA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46278</v>
      </c>
      <c r="F224" t="inlineStr">
        <is>
          <t>VÄSTRA GÖTALANDS LÄN</t>
        </is>
      </c>
      <c r="G224" t="inlineStr">
        <is>
          <t>TÖREBODA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44937</v>
      </c>
      <c r="E225" s="1" t="n">
        <v>46278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28196-2022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44746</v>
      </c>
      <c r="E226" s="1" t="n">
        <v>46278</v>
      </c>
      <c r="F226" t="inlineStr">
        <is>
          <t>VÄSTRA GÖTALANDS LÄN</t>
        </is>
      </c>
      <c r="G226" t="inlineStr">
        <is>
          <t>TÖREBODA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35232-2024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45530</v>
      </c>
      <c r="E227" s="1" t="n">
        <v>46278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46278</v>
      </c>
      <c r="F228" t="inlineStr">
        <is>
          <t>VÄSTRA GÖTALANDS LÄN</t>
        </is>
      </c>
      <c r="G228" t="inlineStr">
        <is>
          <t>TÖREBODA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46278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Övriga statliga verk och myndigheter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46278</v>
      </c>
      <c r="F230" t="inlineStr">
        <is>
          <t>VÄSTRA GÖTALANDS LÄN</t>
        </is>
      </c>
      <c r="G230" t="inlineStr">
        <is>
          <t>TÖREBODA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46278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Övriga statliga verk och myndigheter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46278</v>
      </c>
      <c r="F232" t="inlineStr">
        <is>
          <t>VÄSTRA GÖTALANDS LÄN</t>
        </is>
      </c>
      <c r="G232" t="inlineStr">
        <is>
          <t>TÖREBODA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46278</v>
      </c>
      <c r="F233" t="inlineStr">
        <is>
          <t>VÄSTRA GÖTALANDS LÄN</t>
        </is>
      </c>
      <c r="G233" t="inlineStr">
        <is>
          <t>TÖREBODA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46278</v>
      </c>
      <c r="F234" t="inlineStr">
        <is>
          <t>VÄSTRA GÖTALANDS LÄN</t>
        </is>
      </c>
      <c r="G234" t="inlineStr">
        <is>
          <t>TÖREBODA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45651</v>
      </c>
      <c r="E235" s="1" t="n">
        <v>46278</v>
      </c>
      <c r="F235" t="inlineStr">
        <is>
          <t>VÄSTRA GÖTALANDS LÄN</t>
        </is>
      </c>
      <c r="G235" t="inlineStr">
        <is>
          <t>TÖREBODA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45485</v>
      </c>
      <c r="E236" s="1" t="n">
        <v>46278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46278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46278</v>
      </c>
      <c r="F238" t="inlineStr">
        <is>
          <t>VÄSTRA GÖTALANDS LÄN</t>
        </is>
      </c>
      <c r="G238" t="inlineStr">
        <is>
          <t>TÖREBODA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45685</v>
      </c>
      <c r="E239" s="1" t="n">
        <v>46278</v>
      </c>
      <c r="F239" t="inlineStr">
        <is>
          <t>VÄSTRA GÖTALANDS LÄN</t>
        </is>
      </c>
      <c r="G239" t="inlineStr">
        <is>
          <t>TÖREBODA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46278</v>
      </c>
      <c r="F240" t="inlineStr">
        <is>
          <t>VÄSTRA GÖTALANDS LÄN</t>
        </is>
      </c>
      <c r="G240" t="inlineStr">
        <is>
          <t>TÖREBODA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46278</v>
      </c>
      <c r="F241" t="inlineStr">
        <is>
          <t>VÄSTRA GÖTALANDS LÄN</t>
        </is>
      </c>
      <c r="G241" t="inlineStr">
        <is>
          <t>TÖREBODA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46278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46278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46278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44816</v>
      </c>
      <c r="E245" s="1" t="n">
        <v>46278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Kyrkan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44599</v>
      </c>
      <c r="E246" s="1" t="n">
        <v>46278</v>
      </c>
      <c r="F246" t="inlineStr">
        <is>
          <t>VÄSTRA GÖTALANDS LÄN</t>
        </is>
      </c>
      <c r="G246" t="inlineStr">
        <is>
          <t>TÖREBODA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46248</v>
      </c>
      <c r="E247" s="1" t="n">
        <v>46278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46248</v>
      </c>
      <c r="E248" s="1" t="n">
        <v>46278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46278</v>
      </c>
      <c r="F249" t="inlineStr">
        <is>
          <t>VÄSTRA GÖTALANDS LÄN</t>
        </is>
      </c>
      <c r="G249" t="inlineStr">
        <is>
          <t>TÖREBODA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45460</v>
      </c>
      <c r="E250" s="1" t="n">
        <v>46278</v>
      </c>
      <c r="F250" t="inlineStr">
        <is>
          <t>VÄSTRA GÖTALANDS LÄN</t>
        </is>
      </c>
      <c r="G250" t="inlineStr">
        <is>
          <t>TÖREBODA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46278</v>
      </c>
      <c r="F251" t="inlineStr">
        <is>
          <t>VÄSTRA GÖTALANDS LÄN</t>
        </is>
      </c>
      <c r="G251" t="inlineStr">
        <is>
          <t>TÖREBODA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44901</v>
      </c>
      <c r="E252" s="1" t="n">
        <v>46278</v>
      </c>
      <c r="F252" t="inlineStr">
        <is>
          <t>VÄSTRA GÖTALANDS LÄN</t>
        </is>
      </c>
      <c r="G252" t="inlineStr">
        <is>
          <t>TÖREBODA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46206</v>
      </c>
      <c r="E253" s="1" t="n">
        <v>46278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45076</v>
      </c>
      <c r="E254" s="1" t="n">
        <v>46278</v>
      </c>
      <c r="F254" t="inlineStr">
        <is>
          <t>VÄSTRA GÖTALANDS LÄN</t>
        </is>
      </c>
      <c r="G254" t="inlineStr">
        <is>
          <t>TÖREBODA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46278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46278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44937</v>
      </c>
      <c r="E257" s="1" t="n">
        <v>46278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Övriga statliga verk och myndigheter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44972</v>
      </c>
      <c r="E258" s="1" t="n">
        <v>46278</v>
      </c>
      <c r="F258" t="inlineStr">
        <is>
          <t>VÄSTRA GÖTALANDS LÄN</t>
        </is>
      </c>
      <c r="G258" t="inlineStr">
        <is>
          <t>TÖREBODA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44746</v>
      </c>
      <c r="E259" s="1" t="n">
        <v>46278</v>
      </c>
      <c r="F259" t="inlineStr">
        <is>
          <t>VÄSTRA GÖTALANDS LÄN</t>
        </is>
      </c>
      <c r="G259" t="inlineStr">
        <is>
          <t>TÖREBODA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46251</v>
      </c>
      <c r="E260" s="1" t="n">
        <v>46278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45142</v>
      </c>
      <c r="E261" s="1" t="n">
        <v>46278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6446-2025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45699</v>
      </c>
      <c r="E262" s="1" t="n">
        <v>46278</v>
      </c>
      <c r="F262" t="inlineStr">
        <is>
          <t>VÄSTRA GÖTALANDS LÄN</t>
        </is>
      </c>
      <c r="G262" t="inlineStr">
        <is>
          <t>TÖREBODA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46278</v>
      </c>
      <c r="F263" t="inlineStr">
        <is>
          <t>VÄSTRA GÖTALANDS LÄN</t>
        </is>
      </c>
      <c r="G263" t="inlineStr">
        <is>
          <t>TÖREBODA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45349</v>
      </c>
      <c r="E264" s="1" t="n">
        <v>46278</v>
      </c>
      <c r="F264" t="inlineStr">
        <is>
          <t>VÄSTRA GÖTALANDS LÄN</t>
        </is>
      </c>
      <c r="G264" t="inlineStr">
        <is>
          <t>TÖREBODA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46278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44987</v>
      </c>
      <c r="E266" s="1" t="n">
        <v>46278</v>
      </c>
      <c r="F266" t="inlineStr">
        <is>
          <t>VÄSTRA GÖTALANDS LÄN</t>
        </is>
      </c>
      <c r="G266" t="inlineStr">
        <is>
          <t>TÖREBODA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46278</v>
      </c>
      <c r="F267" t="inlineStr">
        <is>
          <t>VÄSTRA GÖTALANDS LÄN</t>
        </is>
      </c>
      <c r="G267" t="inlineStr">
        <is>
          <t>TÖREBODA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46278</v>
      </c>
      <c r="F268" t="inlineStr">
        <is>
          <t>VÄSTRA GÖTALANDS LÄN</t>
        </is>
      </c>
      <c r="G268" t="inlineStr">
        <is>
          <t>TÖREBODA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44792</v>
      </c>
      <c r="E269" s="1" t="n">
        <v>46278</v>
      </c>
      <c r="F269" t="inlineStr">
        <is>
          <t>VÄSTRA GÖTALANDS LÄN</t>
        </is>
      </c>
      <c r="G269" t="inlineStr">
        <is>
          <t>TÖREBODA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45625</v>
      </c>
      <c r="E270" s="1" t="n">
        <v>46278</v>
      </c>
      <c r="F270" t="inlineStr">
        <is>
          <t>VÄSTRA GÖTALANDS LÄN</t>
        </is>
      </c>
      <c r="G270" t="inlineStr">
        <is>
          <t>TÖREBODA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46278</v>
      </c>
      <c r="F271" t="inlineStr">
        <is>
          <t>VÄSTRA GÖTALANDS LÄN</t>
        </is>
      </c>
      <c r="G271" t="inlineStr">
        <is>
          <t>TÖREBODA</t>
        </is>
      </c>
      <c r="I271" t="n">
        <v>28.9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45322</v>
      </c>
      <c r="E272" s="1" t="n">
        <v>46278</v>
      </c>
      <c r="F272" t="inlineStr">
        <is>
          <t>VÄSTRA GÖTALANDS LÄN</t>
        </is>
      </c>
      <c r="G272" t="inlineStr">
        <is>
          <t>TÖREBODA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46278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45056</v>
      </c>
      <c r="E274" s="1" t="n">
        <v>46278</v>
      </c>
      <c r="F274" t="inlineStr">
        <is>
          <t>VÄSTRA GÖTALANDS LÄN</t>
        </is>
      </c>
      <c r="G274" t="inlineStr">
        <is>
          <t>TÖREBODA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27086-2022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44741</v>
      </c>
      <c r="E275" s="1" t="n">
        <v>46278</v>
      </c>
      <c r="F275" t="inlineStr">
        <is>
          <t>VÄSTRA GÖTALANDS LÄN</t>
        </is>
      </c>
      <c r="G275" t="inlineStr">
        <is>
          <t>TÖREBODA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56831-2022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44894</v>
      </c>
      <c r="E276" s="1" t="n">
        <v>46278</v>
      </c>
      <c r="F276" t="inlineStr">
        <is>
          <t>VÄSTRA GÖTALANDS LÄN</t>
        </is>
      </c>
      <c r="G276" t="inlineStr">
        <is>
          <t>TÖREBODA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46278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46278</v>
      </c>
      <c r="F278" t="inlineStr">
        <is>
          <t>VÄSTRA GÖTALANDS LÄN</t>
        </is>
      </c>
      <c r="G278" t="inlineStr">
        <is>
          <t>TÖREBODA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46278</v>
      </c>
      <c r="F279" t="inlineStr">
        <is>
          <t>VÄSTRA GÖTALANDS LÄN</t>
        </is>
      </c>
      <c r="G279" t="inlineStr">
        <is>
          <t>TÖREBODA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46278</v>
      </c>
      <c r="F280" t="inlineStr">
        <is>
          <t>VÄSTRA GÖTALANDS LÄN</t>
        </is>
      </c>
      <c r="G280" t="inlineStr">
        <is>
          <t>TÖREBODA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41627-2022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44827</v>
      </c>
      <c r="E281" s="1" t="n">
        <v>46278</v>
      </c>
      <c r="F281" t="inlineStr">
        <is>
          <t>VÄSTRA GÖTALANDS LÄN</t>
        </is>
      </c>
      <c r="G281" t="inlineStr">
        <is>
          <t>TÖREBODA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41632-2022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44827</v>
      </c>
      <c r="E282" s="1" t="n">
        <v>46278</v>
      </c>
      <c r="F282" t="inlineStr">
        <is>
          <t>VÄSTRA GÖTALANDS LÄN</t>
        </is>
      </c>
      <c r="G282" t="inlineStr">
        <is>
          <t>TÖREBODA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46268</v>
      </c>
      <c r="E283" s="1" t="n">
        <v>46278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46268</v>
      </c>
      <c r="E284" s="1" t="n">
        <v>46278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46268</v>
      </c>
      <c r="E285" s="1" t="n">
        <v>46278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46268</v>
      </c>
      <c r="E286" s="1" t="n">
        <v>46278</v>
      </c>
      <c r="F286" t="inlineStr">
        <is>
          <t>VÄSTRA GÖTALANDS LÄN</t>
        </is>
      </c>
      <c r="G286" t="inlineStr">
        <is>
          <t>TÖREBODA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46278</v>
      </c>
      <c r="F287" t="inlineStr">
        <is>
          <t>VÄSTRA GÖTALANDS LÄN</t>
        </is>
      </c>
      <c r="G287" t="inlineStr">
        <is>
          <t>TÖREBODA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36387-2026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46268</v>
      </c>
      <c r="E288" s="1" t="n">
        <v>46278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46268</v>
      </c>
      <c r="E289" s="1" t="n">
        <v>46278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36386-2026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46268</v>
      </c>
      <c r="E290" s="1" t="n">
        <v>46278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46278</v>
      </c>
      <c r="F291" t="inlineStr">
        <is>
          <t>VÄSTRA GÖTALANDS LÄN</t>
        </is>
      </c>
      <c r="G291" t="inlineStr">
        <is>
          <t>TÖREBODA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45552</v>
      </c>
      <c r="E292" s="1" t="n">
        <v>46278</v>
      </c>
      <c r="F292" t="inlineStr">
        <is>
          <t>VÄSTRA GÖTALANDS LÄN</t>
        </is>
      </c>
      <c r="G292" t="inlineStr">
        <is>
          <t>TÖREBODA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63113-2023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45273</v>
      </c>
      <c r="E293" s="1" t="n">
        <v>46278</v>
      </c>
      <c r="F293" t="inlineStr">
        <is>
          <t>VÄSTRA GÖTALANDS LÄN</t>
        </is>
      </c>
      <c r="G293" t="inlineStr">
        <is>
          <t>TÖREBODA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45350</v>
      </c>
      <c r="E294" s="1" t="n">
        <v>46278</v>
      </c>
      <c r="F294" t="inlineStr">
        <is>
          <t>VÄSTRA GÖTALANDS LÄN</t>
        </is>
      </c>
      <c r="G294" t="inlineStr">
        <is>
          <t>TÖREBODA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57220-2023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46278</v>
      </c>
      <c r="F295" t="inlineStr">
        <is>
          <t>VÄSTRA GÖTALANDS LÄN</t>
        </is>
      </c>
      <c r="G295" t="inlineStr">
        <is>
          <t>TÖREBODA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46278</v>
      </c>
      <c r="F296" t="inlineStr">
        <is>
          <t>VÄSTRA GÖTALANDS LÄN</t>
        </is>
      </c>
      <c r="G296" t="inlineStr">
        <is>
          <t>TÖREBODA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44907</v>
      </c>
      <c r="E297" s="1" t="n">
        <v>46278</v>
      </c>
      <c r="F297" t="inlineStr">
        <is>
          <t>VÄSTRA GÖTALANDS LÄN</t>
        </is>
      </c>
      <c r="G297" t="inlineStr">
        <is>
          <t>TÖREBODA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46231</v>
      </c>
      <c r="E298" s="1" t="n">
        <v>46278</v>
      </c>
      <c r="F298" t="inlineStr">
        <is>
          <t>VÄSTRA GÖTALANDS LÄN</t>
        </is>
      </c>
      <c r="G298" t="inlineStr">
        <is>
          <t>TÖREBODA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45352</v>
      </c>
      <c r="E299" s="1" t="n">
        <v>46278</v>
      </c>
      <c r="F299" t="inlineStr">
        <is>
          <t>VÄSTRA GÖTALANDS LÄN</t>
        </is>
      </c>
      <c r="G299" t="inlineStr">
        <is>
          <t>TÖREBODA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46278</v>
      </c>
      <c r="F300" t="inlineStr">
        <is>
          <t>VÄSTRA GÖTALANDS LÄN</t>
        </is>
      </c>
      <c r="G300" t="inlineStr">
        <is>
          <t>TÖREBODA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46275</v>
      </c>
      <c r="E301" s="1" t="n">
        <v>46278</v>
      </c>
      <c r="F301" t="inlineStr">
        <is>
          <t>VÄSTRA GÖTALANDS LÄN</t>
        </is>
      </c>
      <c r="G301" t="inlineStr">
        <is>
          <t>TÖREBODA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46278</v>
      </c>
      <c r="F302" t="inlineStr">
        <is>
          <t>VÄSTRA GÖTALANDS LÄN</t>
        </is>
      </c>
      <c r="G302" t="inlineStr">
        <is>
          <t>TÖREBODA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46278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46278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11730-2025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45727</v>
      </c>
      <c r="E305" s="1" t="n">
        <v>46278</v>
      </c>
      <c r="F305" t="inlineStr">
        <is>
          <t>VÄSTRA GÖTALANDS LÄN</t>
        </is>
      </c>
      <c r="G305" t="inlineStr">
        <is>
          <t>TÖREBODA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46278</v>
      </c>
      <c r="F306" t="inlineStr">
        <is>
          <t>VÄSTRA GÖTALANDS LÄN</t>
        </is>
      </c>
      <c r="G306" t="inlineStr">
        <is>
          <t>TÖREBODA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45730</v>
      </c>
      <c r="E307" s="1" t="n">
        <v>46278</v>
      </c>
      <c r="F307" t="inlineStr">
        <is>
          <t>VÄSTRA GÖTALANDS LÄN</t>
        </is>
      </c>
      <c r="G307" t="inlineStr">
        <is>
          <t>TÖREBODA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46278</v>
      </c>
      <c r="F308" t="inlineStr">
        <is>
          <t>VÄSTRA GÖTALANDS LÄN</t>
        </is>
      </c>
      <c r="G308" t="inlineStr">
        <is>
          <t>TÖREBODA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45593</v>
      </c>
      <c r="E309" s="1" t="n">
        <v>46278</v>
      </c>
      <c r="F309" t="inlineStr">
        <is>
          <t>VÄSTRA GÖTALANDS LÄN</t>
        </is>
      </c>
      <c r="G309" t="inlineStr">
        <is>
          <t>TÖREBODA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46278</v>
      </c>
      <c r="F310" t="inlineStr">
        <is>
          <t>VÄSTRA GÖTALANDS LÄN</t>
        </is>
      </c>
      <c r="G310" t="inlineStr">
        <is>
          <t>TÖREBODA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46278</v>
      </c>
      <c r="F311" t="inlineStr">
        <is>
          <t>VÄSTRA GÖTALANDS LÄN</t>
        </is>
      </c>
      <c r="G311" t="inlineStr">
        <is>
          <t>TÖREBODA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46278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Kyrkan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46278</v>
      </c>
      <c r="F313" t="inlineStr">
        <is>
          <t>VÄSTRA GÖTALANDS LÄN</t>
        </is>
      </c>
      <c r="G313" t="inlineStr">
        <is>
          <t>TÖREBODA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45493</v>
      </c>
      <c r="E314" s="1" t="n">
        <v>46278</v>
      </c>
      <c r="F314" t="inlineStr">
        <is>
          <t>VÄSTRA GÖTALANDS LÄN</t>
        </is>
      </c>
      <c r="G314" t="inlineStr">
        <is>
          <t>TÖREBODA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46278</v>
      </c>
      <c r="F315" t="inlineStr">
        <is>
          <t>VÄSTRA GÖTALANDS LÄN</t>
        </is>
      </c>
      <c r="G315" t="inlineStr">
        <is>
          <t>TÖREBODA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46278</v>
      </c>
      <c r="F316" t="inlineStr">
        <is>
          <t>VÄSTRA GÖTALANDS LÄN</t>
        </is>
      </c>
      <c r="G316" t="inlineStr">
        <is>
          <t>TÖREBODA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26941-2025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45811</v>
      </c>
      <c r="E317" s="1" t="n">
        <v>46278</v>
      </c>
      <c r="F317" t="inlineStr">
        <is>
          <t>VÄSTRA GÖTALANDS LÄN</t>
        </is>
      </c>
      <c r="G317" t="inlineStr">
        <is>
          <t>TÖREBODA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45685</v>
      </c>
      <c r="E318" s="1" t="n">
        <v>46278</v>
      </c>
      <c r="F318" t="inlineStr">
        <is>
          <t>VÄSTRA GÖTALANDS LÄN</t>
        </is>
      </c>
      <c r="G318" t="inlineStr">
        <is>
          <t>TÖREBODA</t>
        </is>
      </c>
      <c r="I318" t="n">
        <v>186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671-2025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46278</v>
      </c>
      <c r="F319" t="inlineStr">
        <is>
          <t>VÄSTRA GÖTALANDS LÄN</t>
        </is>
      </c>
      <c r="G319" t="inlineStr">
        <is>
          <t>TÖREBODA</t>
        </is>
      </c>
      <c r="I319" t="n">
        <v>56.1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670-2025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46278</v>
      </c>
      <c r="F320" t="inlineStr">
        <is>
          <t>VÄSTRA GÖTALANDS LÄN</t>
        </is>
      </c>
      <c r="G320" t="inlineStr">
        <is>
          <t>TÖREBODA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178-2026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46045</v>
      </c>
      <c r="E321" s="1" t="n">
        <v>46278</v>
      </c>
      <c r="F321" t="inlineStr">
        <is>
          <t>VÄSTRA GÖTALANDS LÄN</t>
        </is>
      </c>
      <c r="G321" t="inlineStr">
        <is>
          <t>TÖREBODA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2026-09-13T02:16:51Z</dcterms:created>
  <dcterms:modified xmlns:dcterms="http://purl.org/dc/terms/" xmlns:xsi="http://www.w3.org/2001/XMLSchema-instance" xsi:type="dcterms:W3CDTF">2026-09-13T02:16:51Z</dcterms:modified>
</cp:coreProperties>
</file>