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46309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46309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46309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46309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46309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46309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46309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46309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46309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46309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46309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46309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46309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46309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46309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46309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46309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46309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12168-2025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46309</v>
      </c>
      <c r="F20" t="inlineStr">
        <is>
          <t>VÄSTRA GÖTALANDS LÄN</t>
        </is>
      </c>
      <c r="G20" t="inlineStr">
        <is>
          <t>TÖREBODA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HYPERLINK("https://klasma.github.io/Logging_1473/artfynd/A 12168-2025 artfynd.xlsx", "A 12168-2025")</f>
        <v/>
      </c>
      <c r="X20">
        <f>HYPERLINK("https://klasma.github.io/Logging_1473/kartor/A 12168-2025 karta.png", "A 12168-2025")</f>
        <v/>
      </c>
      <c r="Y20">
        <f>HYPERLINK("https://klasma.github.io/Logging_1473/kartor_geotiff/A 12168-2025 georefererad karta.tif", "A 12168-2025")</f>
        <v/>
      </c>
      <c r="AA20">
        <f>HYPERLINK("https://klasma.github.io/Logging_1473/klagomål/A 12168-2025 FSC-klagomål.docx", "A 12168-2025")</f>
        <v/>
      </c>
      <c r="AB20">
        <f>HYPERLINK("https://klasma.github.io/Logging_1473/klagomålsmail/A 12168-2025 FSC-klagomål mail.docx", "A 12168-2025")</f>
        <v/>
      </c>
      <c r="AC20">
        <f>HYPERLINK("https://klasma.github.io/Logging_1473/tillsyn/A 12168-2025 tillsynsbegäran.docx", "A 12168-2025")</f>
        <v/>
      </c>
      <c r="AD20">
        <f>HYPERLINK("https://klasma.github.io/Logging_1473/tillsynsmail/A 12168-2025 tillsynsbegäran mail.docx", "A 12168-2025")</f>
        <v/>
      </c>
      <c r="AE20">
        <f>HYPERLINK("https://klasma.github.io/Logging_1473/fåglar/A 12168-2025 prioriterade fågelarter.docx", "A 12168-2025")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46309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46309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8266-2022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46309</v>
      </c>
      <c r="F23" t="inlineStr">
        <is>
          <t>VÄSTRA GÖTALANDS LÄN</t>
        </is>
      </c>
      <c r="G23" t="inlineStr">
        <is>
          <t>TÖREBODA</t>
        </is>
      </c>
      <c r="H23" t="inlineStr">
        <is>
          <t>Sveaskog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Dofttaggsvamp</t>
        </is>
      </c>
      <c r="W23">
        <f>HYPERLINK("https://klasma.github.io/Logging_1473/artfynd/A 8266-2022 artfynd.xlsx", "A 8266-2022")</f>
        <v/>
      </c>
      <c r="X23">
        <f>HYPERLINK("https://klasma.github.io/Logging_1473/kartor/A 8266-2022 karta.png", "A 8266-2022")</f>
        <v/>
      </c>
      <c r="Y23">
        <f>HYPERLINK("https://klasma.github.io/Logging_1473/kartor_geotiff/A 8266-2022 georefererad karta.tif", "A 8266-2022")</f>
        <v/>
      </c>
      <c r="AA23">
        <f>HYPERLINK("https://klasma.github.io/Logging_1473/klagomål/A 8266-2022 FSC-klagomål.docx", "A 8266-2022")</f>
        <v/>
      </c>
      <c r="AB23">
        <f>HYPERLINK("https://klasma.github.io/Logging_1473/klagomålsmail/A 8266-2022 FSC-klagomål mail.docx", "A 8266-2022")</f>
        <v/>
      </c>
      <c r="AC23">
        <f>HYPERLINK("https://klasma.github.io/Logging_1473/tillsyn/A 8266-2022 tillsynsbegäran.docx", "A 8266-2022")</f>
        <v/>
      </c>
      <c r="AD23">
        <f>HYPERLINK("https://klasma.github.io/Logging_1473/tillsynsmail/A 8266-2022 tillsynsbegäran mail.docx", "A 8266-2022")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46309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46309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46309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46309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46309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58097-2024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46309</v>
      </c>
      <c r="F29" t="inlineStr">
        <is>
          <t>VÄSTRA GÖTALANDS LÄN</t>
        </is>
      </c>
      <c r="G29" t="inlineStr">
        <is>
          <t>TÖREBODA</t>
        </is>
      </c>
      <c r="I29" t="n">
        <v>8.6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Vattenfladdermus</t>
        </is>
      </c>
      <c r="W29">
        <f>HYPERLINK("https://klasma.github.io/Logging_1473/artfynd/A 58097-2024 artfynd.xlsx", "A 58097-2024")</f>
        <v/>
      </c>
      <c r="X29">
        <f>HYPERLINK("https://klasma.github.io/Logging_1473/kartor/A 58097-2024 karta.png", "A 58097-2024")</f>
        <v/>
      </c>
      <c r="Y29">
        <f>HYPERLINK("https://klasma.github.io/Logging_1473/kartor_geotiff/A 58097-2024 georefererad karta.tif", "A 58097-2024")</f>
        <v/>
      </c>
      <c r="AA29">
        <f>HYPERLINK("https://klasma.github.io/Logging_1473/klagomål/A 58097-2024 FSC-klagomål.docx", "A 58097-2024")</f>
        <v/>
      </c>
      <c r="AB29">
        <f>HYPERLINK("https://klasma.github.io/Logging_1473/klagomålsmail/A 58097-2024 FSC-klagomål mail.docx", "A 58097-2024")</f>
        <v/>
      </c>
      <c r="AC29">
        <f>HYPERLINK("https://klasma.github.io/Logging_1473/tillsyn/A 58097-2024 tillsynsbegäran.docx", "A 58097-2024")</f>
        <v/>
      </c>
      <c r="AD29">
        <f>HYPERLINK("https://klasma.github.io/Logging_1473/tillsynsmail/A 58097-2024 tillsynsbegäran mail.docx", "A 58097-2024")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46309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46309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46309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46309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46309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46309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46309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46309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46309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46309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46309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46309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46309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46309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46309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46309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46309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46309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46309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46309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46309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46309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46309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46309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46309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46309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46309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46309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46309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46309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46309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46309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46309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46309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46309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46309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46309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46309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46309</v>
      </c>
      <c r="F69" t="inlineStr">
        <is>
          <t>VÄSTRA GÖTALANDS LÄN</t>
        </is>
      </c>
      <c r="G69" t="inlineStr">
        <is>
          <t>TÖREBODA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45460</v>
      </c>
      <c r="E70" s="1" t="n">
        <v>46309</v>
      </c>
      <c r="F70" t="inlineStr">
        <is>
          <t>VÄSTRA GÖTALANDS LÄN</t>
        </is>
      </c>
      <c r="G70" t="inlineStr">
        <is>
          <t>TÖREBODA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46309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46309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46309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46309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46309</v>
      </c>
      <c r="F75" t="inlineStr">
        <is>
          <t>VÄSTRA GÖTALANDS LÄN</t>
        </is>
      </c>
      <c r="G75" t="inlineStr">
        <is>
          <t>TÖREBODA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44903</v>
      </c>
      <c r="E76" s="1" t="n">
        <v>46309</v>
      </c>
      <c r="F76" t="inlineStr">
        <is>
          <t>VÄSTRA GÖTALANDS LÄN</t>
        </is>
      </c>
      <c r="G76" t="inlineStr">
        <is>
          <t>TÖREBODA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45531</v>
      </c>
      <c r="E77" s="1" t="n">
        <v>46309</v>
      </c>
      <c r="F77" t="inlineStr">
        <is>
          <t>VÄSTRA GÖTALANDS LÄN</t>
        </is>
      </c>
      <c r="G77" t="inlineStr">
        <is>
          <t>TÖREBODA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46309</v>
      </c>
      <c r="F78" t="inlineStr">
        <is>
          <t>VÄSTRA GÖTALANDS LÄN</t>
        </is>
      </c>
      <c r="G78" t="inlineStr">
        <is>
          <t>TÖREBODA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45593</v>
      </c>
      <c r="E79" s="1" t="n">
        <v>46309</v>
      </c>
      <c r="F79" t="inlineStr">
        <is>
          <t>VÄSTRA GÖTALANDS LÄN</t>
        </is>
      </c>
      <c r="G79" t="inlineStr">
        <is>
          <t>TÖREBODA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45439</v>
      </c>
      <c r="E80" s="1" t="n">
        <v>46309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46309</v>
      </c>
      <c r="F81" t="inlineStr">
        <is>
          <t>VÄSTRA GÖTALANDS LÄN</t>
        </is>
      </c>
      <c r="G81" t="inlineStr">
        <is>
          <t>TÖREBODA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46309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Kyrkan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45209</v>
      </c>
      <c r="E83" s="1" t="n">
        <v>46309</v>
      </c>
      <c r="F83" t="inlineStr">
        <is>
          <t>VÄSTRA GÖTALANDS LÄN</t>
        </is>
      </c>
      <c r="G83" t="inlineStr">
        <is>
          <t>TÖREBODA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30593-2024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45493</v>
      </c>
      <c r="E84" s="1" t="n">
        <v>46309</v>
      </c>
      <c r="F84" t="inlineStr">
        <is>
          <t>VÄSTRA GÖTALANDS LÄN</t>
        </is>
      </c>
      <c r="G84" t="inlineStr">
        <is>
          <t>TÖREBODA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45569</v>
      </c>
      <c r="E85" s="1" t="n">
        <v>46309</v>
      </c>
      <c r="F85" t="inlineStr">
        <is>
          <t>VÄSTRA GÖTALANDS LÄN</t>
        </is>
      </c>
      <c r="G85" t="inlineStr">
        <is>
          <t>TÖREBODA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64799-2023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45282</v>
      </c>
      <c r="E86" s="1" t="n">
        <v>46309</v>
      </c>
      <c r="F86" t="inlineStr">
        <is>
          <t>VÄSTRA GÖTALANDS LÄN</t>
        </is>
      </c>
      <c r="G86" t="inlineStr">
        <is>
          <t>TÖREBODA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46309</v>
      </c>
      <c r="F87" t="inlineStr">
        <is>
          <t>VÄSTRA GÖTALANDS LÄN</t>
        </is>
      </c>
      <c r="G87" t="inlineStr">
        <is>
          <t>TÖREBODA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46309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46309</v>
      </c>
      <c r="F89" t="inlineStr">
        <is>
          <t>VÄSTRA GÖTALANDS LÄN</t>
        </is>
      </c>
      <c r="G89" t="inlineStr">
        <is>
          <t>TÖREBODA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46309</v>
      </c>
      <c r="F90" t="inlineStr">
        <is>
          <t>VÄSTRA GÖTALANDS LÄN</t>
        </is>
      </c>
      <c r="G90" t="inlineStr">
        <is>
          <t>TÖREBODA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46309</v>
      </c>
      <c r="F91" t="inlineStr">
        <is>
          <t>VÄSTRA GÖTALANDS LÄN</t>
        </is>
      </c>
      <c r="G91" t="inlineStr">
        <is>
          <t>TÖREBODA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45341</v>
      </c>
      <c r="E92" s="1" t="n">
        <v>46309</v>
      </c>
      <c r="F92" t="inlineStr">
        <is>
          <t>VÄSTRA GÖTALANDS LÄN</t>
        </is>
      </c>
      <c r="G92" t="inlineStr">
        <is>
          <t>TÖREBODA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46309</v>
      </c>
      <c r="F93" t="inlineStr">
        <is>
          <t>VÄSTRA GÖTALANDS LÄN</t>
        </is>
      </c>
      <c r="G93" t="inlineStr">
        <is>
          <t>TÖREBODA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46309</v>
      </c>
      <c r="F94" t="inlineStr">
        <is>
          <t>VÄSTRA GÖTALANDS LÄN</t>
        </is>
      </c>
      <c r="G94" t="inlineStr">
        <is>
          <t>TÖREBODA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46309</v>
      </c>
      <c r="F95" t="inlineStr">
        <is>
          <t>VÄSTRA GÖTALANDS LÄN</t>
        </is>
      </c>
      <c r="G95" t="inlineStr">
        <is>
          <t>TÖREBODA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46309</v>
      </c>
      <c r="F96" t="inlineStr">
        <is>
          <t>VÄSTRA GÖTALANDS LÄN</t>
        </is>
      </c>
      <c r="G96" t="inlineStr">
        <is>
          <t>TÖREBODA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26941-2025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45811</v>
      </c>
      <c r="E97" s="1" t="n">
        <v>46309</v>
      </c>
      <c r="F97" t="inlineStr">
        <is>
          <t>VÄSTRA GÖTALANDS LÄN</t>
        </is>
      </c>
      <c r="G97" t="inlineStr">
        <is>
          <t>TÖREBODA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17360-2024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45414</v>
      </c>
      <c r="E98" s="1" t="n">
        <v>46309</v>
      </c>
      <c r="F98" t="inlineStr">
        <is>
          <t>VÄSTRA GÖTALANDS LÄN</t>
        </is>
      </c>
      <c r="G98" t="inlineStr">
        <is>
          <t>TÖREBODA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46309</v>
      </c>
      <c r="F99" t="inlineStr">
        <is>
          <t>VÄSTRA GÖTALANDS LÄN</t>
        </is>
      </c>
      <c r="G99" t="inlineStr">
        <is>
          <t>TÖREBODA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46309</v>
      </c>
      <c r="F100" t="inlineStr">
        <is>
          <t>VÄSTRA GÖTALANDS LÄN</t>
        </is>
      </c>
      <c r="G100" t="inlineStr">
        <is>
          <t>TÖREBODA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59440-2022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44907</v>
      </c>
      <c r="E101" s="1" t="n">
        <v>46309</v>
      </c>
      <c r="F101" t="inlineStr">
        <is>
          <t>VÄSTRA GÖTALANDS LÄN</t>
        </is>
      </c>
      <c r="G101" t="inlineStr">
        <is>
          <t>TÖREBODA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46309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58123-2022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46309</v>
      </c>
      <c r="F103" t="inlineStr">
        <is>
          <t>VÄSTRA GÖTALANDS LÄN</t>
        </is>
      </c>
      <c r="G103" t="inlineStr">
        <is>
          <t>TÖREBODA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45803</v>
      </c>
      <c r="E104" s="1" t="n">
        <v>46309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46309</v>
      </c>
      <c r="F105" t="inlineStr">
        <is>
          <t>VÄSTRA GÖTALANDS LÄN</t>
        </is>
      </c>
      <c r="G105" t="inlineStr">
        <is>
          <t>TÖREBODA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45569</v>
      </c>
      <c r="E106" s="1" t="n">
        <v>46309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46309</v>
      </c>
      <c r="F107" t="inlineStr">
        <is>
          <t>VÄSTRA GÖTALANDS LÄN</t>
        </is>
      </c>
      <c r="G107" t="inlineStr">
        <is>
          <t>TÖREBODA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46309</v>
      </c>
      <c r="F108" t="inlineStr">
        <is>
          <t>VÄSTRA GÖTALANDS LÄN</t>
        </is>
      </c>
      <c r="G108" t="inlineStr">
        <is>
          <t>TÖREBODA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46309</v>
      </c>
      <c r="F109" t="inlineStr">
        <is>
          <t>VÄSTRA GÖTALANDS LÄN</t>
        </is>
      </c>
      <c r="G109" t="inlineStr">
        <is>
          <t>TÖREBODA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46309</v>
      </c>
      <c r="F110" t="inlineStr">
        <is>
          <t>VÄSTRA GÖTALANDS LÄN</t>
        </is>
      </c>
      <c r="G110" t="inlineStr">
        <is>
          <t>TÖREBODA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58013-2022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46309</v>
      </c>
      <c r="F111" t="inlineStr">
        <is>
          <t>VÄSTRA GÖTALANDS LÄN</t>
        </is>
      </c>
      <c r="G111" t="inlineStr">
        <is>
          <t>TÖREBODA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45924</v>
      </c>
      <c r="E112" s="1" t="n">
        <v>46309</v>
      </c>
      <c r="F112" t="inlineStr">
        <is>
          <t>VÄSTRA GÖTALANDS LÄN</t>
        </is>
      </c>
      <c r="G112" t="inlineStr">
        <is>
          <t>TÖREBODA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44924</v>
      </c>
      <c r="E113" s="1" t="n">
        <v>46309</v>
      </c>
      <c r="F113" t="inlineStr">
        <is>
          <t>VÄSTRA GÖTALANDS LÄN</t>
        </is>
      </c>
      <c r="G113" t="inlineStr">
        <is>
          <t>TÖREBODA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46309</v>
      </c>
      <c r="F114" t="inlineStr">
        <is>
          <t>VÄSTRA GÖTALANDS LÄN</t>
        </is>
      </c>
      <c r="G114" t="inlineStr">
        <is>
          <t>TÖREBODA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46309</v>
      </c>
      <c r="F115" t="inlineStr">
        <is>
          <t>VÄSTRA GÖTALANDS LÄN</t>
        </is>
      </c>
      <c r="G115" t="inlineStr">
        <is>
          <t>TÖREBODA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46309</v>
      </c>
      <c r="F116" t="inlineStr">
        <is>
          <t>VÄSTRA GÖTALANDS LÄN</t>
        </is>
      </c>
      <c r="G116" t="inlineStr">
        <is>
          <t>TÖREBODA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46309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46309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46309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46309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46309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33530-2025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46309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46309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45127</v>
      </c>
      <c r="E124" s="1" t="n">
        <v>46309</v>
      </c>
      <c r="F124" t="inlineStr">
        <is>
          <t>VÄSTRA GÖTALANDS LÄN</t>
        </is>
      </c>
      <c r="G124" t="inlineStr">
        <is>
          <t>TÖREBODA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18845-2025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46309</v>
      </c>
      <c r="F125" t="inlineStr">
        <is>
          <t>VÄSTRA GÖTALANDS LÄN</t>
        </is>
      </c>
      <c r="G125" t="inlineStr">
        <is>
          <t>TÖREBODA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46309</v>
      </c>
      <c r="F126" t="inlineStr">
        <is>
          <t>VÄSTRA GÖTALANDS LÄN</t>
        </is>
      </c>
      <c r="G126" t="inlineStr">
        <is>
          <t>TÖREBODA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46309</v>
      </c>
      <c r="F127" t="inlineStr">
        <is>
          <t>VÄSTRA GÖTALANDS LÄN</t>
        </is>
      </c>
      <c r="G127" t="inlineStr">
        <is>
          <t>TÖREBODA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46309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46309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46309</v>
      </c>
      <c r="F130" t="inlineStr">
        <is>
          <t>VÄSTRA GÖTALANDS LÄN</t>
        </is>
      </c>
      <c r="G130" t="inlineStr">
        <is>
          <t>TÖREBODA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46309</v>
      </c>
      <c r="F131" t="inlineStr">
        <is>
          <t>VÄSTRA GÖTALANDS LÄN</t>
        </is>
      </c>
      <c r="G131" t="inlineStr">
        <is>
          <t>TÖREBODA</t>
        </is>
      </c>
      <c r="I131" t="n">
        <v>8.199999999999999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46309</v>
      </c>
      <c r="F132" t="inlineStr">
        <is>
          <t>VÄSTRA GÖTALANDS LÄN</t>
        </is>
      </c>
      <c r="G132" t="inlineStr">
        <is>
          <t>TÖREBODA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35438-2024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46309</v>
      </c>
      <c r="F133" t="inlineStr">
        <is>
          <t>VÄSTRA GÖTALANDS LÄN</t>
        </is>
      </c>
      <c r="G133" t="inlineStr">
        <is>
          <t>TÖREBODA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46309</v>
      </c>
      <c r="F134" t="inlineStr">
        <is>
          <t>VÄSTRA GÖTALANDS LÄN</t>
        </is>
      </c>
      <c r="G134" t="inlineStr">
        <is>
          <t>TÖREBODA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45399</v>
      </c>
      <c r="E135" s="1" t="n">
        <v>46309</v>
      </c>
      <c r="F135" t="inlineStr">
        <is>
          <t>VÄSTRA GÖTALANDS LÄN</t>
        </is>
      </c>
      <c r="G135" t="inlineStr">
        <is>
          <t>TÖREBODA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45051</v>
      </c>
      <c r="E136" s="1" t="n">
        <v>46309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44698</v>
      </c>
      <c r="E137" s="1" t="n">
        <v>46309</v>
      </c>
      <c r="F137" t="inlineStr">
        <is>
          <t>VÄSTRA GÖTALANDS LÄN</t>
        </is>
      </c>
      <c r="G137" t="inlineStr">
        <is>
          <t>TÖREBODA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45954</v>
      </c>
      <c r="E138" s="1" t="n">
        <v>46309</v>
      </c>
      <c r="F138" t="inlineStr">
        <is>
          <t>VÄSTRA GÖTALANDS LÄN</t>
        </is>
      </c>
      <c r="G138" t="inlineStr">
        <is>
          <t>TÖREBODA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52639-2025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46309</v>
      </c>
      <c r="F139" t="inlineStr">
        <is>
          <t>VÄSTRA GÖTALANDS LÄN</t>
        </is>
      </c>
      <c r="G139" t="inlineStr">
        <is>
          <t>TÖREBODA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46309</v>
      </c>
      <c r="F140" t="inlineStr">
        <is>
          <t>VÄSTRA GÖTALANDS LÄN</t>
        </is>
      </c>
      <c r="G140" t="inlineStr">
        <is>
          <t>TÖREBODA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44923</v>
      </c>
      <c r="E141" s="1" t="n">
        <v>46309</v>
      </c>
      <c r="F141" t="inlineStr">
        <is>
          <t>VÄSTRA GÖTALANDS LÄN</t>
        </is>
      </c>
      <c r="G141" t="inlineStr">
        <is>
          <t>TÖREBODA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46309</v>
      </c>
      <c r="F142" t="inlineStr">
        <is>
          <t>VÄSTRA GÖTALANDS LÄN</t>
        </is>
      </c>
      <c r="G142" t="inlineStr">
        <is>
          <t>TÖREBODA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45961</v>
      </c>
      <c r="E143" s="1" t="n">
        <v>46309</v>
      </c>
      <c r="F143" t="inlineStr">
        <is>
          <t>VÄSTRA GÖTALANDS LÄN</t>
        </is>
      </c>
      <c r="G143" t="inlineStr">
        <is>
          <t>TÖREBODA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46309</v>
      </c>
      <c r="F144" t="inlineStr">
        <is>
          <t>VÄSTRA GÖTALANDS LÄN</t>
        </is>
      </c>
      <c r="G144" t="inlineStr">
        <is>
          <t>TÖREBODA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55593-2025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45971</v>
      </c>
      <c r="E145" s="1" t="n">
        <v>46309</v>
      </c>
      <c r="F145" t="inlineStr">
        <is>
          <t>VÄSTRA GÖTALANDS LÄN</t>
        </is>
      </c>
      <c r="G145" t="inlineStr">
        <is>
          <t>TÖREBODA</t>
        </is>
      </c>
      <c r="I145" t="n">
        <v>20.8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46309</v>
      </c>
      <c r="F146" t="inlineStr">
        <is>
          <t>VÄSTRA GÖTALANDS LÄN</t>
        </is>
      </c>
      <c r="G146" t="inlineStr">
        <is>
          <t>TÖREBODA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46309</v>
      </c>
      <c r="F147" t="inlineStr">
        <is>
          <t>VÄSTRA GÖTALANDS LÄN</t>
        </is>
      </c>
      <c r="G147" t="inlineStr">
        <is>
          <t>TÖREBODA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55766-2025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45972</v>
      </c>
      <c r="E148" s="1" t="n">
        <v>46309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46309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46057</v>
      </c>
      <c r="E150" s="1" t="n">
        <v>46309</v>
      </c>
      <c r="F150" t="inlineStr">
        <is>
          <t>VÄSTRA GÖTALANDS LÄN</t>
        </is>
      </c>
      <c r="G150" t="inlineStr">
        <is>
          <t>TÖREBODA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46309</v>
      </c>
      <c r="F151" t="inlineStr">
        <is>
          <t>VÄSTRA GÖTALANDS LÄN</t>
        </is>
      </c>
      <c r="G151" t="inlineStr">
        <is>
          <t>TÖREBODA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45328</v>
      </c>
      <c r="E152" s="1" t="n">
        <v>46309</v>
      </c>
      <c r="F152" t="inlineStr">
        <is>
          <t>VÄSTRA GÖTALANDS LÄN</t>
        </is>
      </c>
      <c r="G152" t="inlineStr">
        <is>
          <t>TÖREBODA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44853</v>
      </c>
      <c r="E153" s="1" t="n">
        <v>46309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46309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Övriga Aktiebolag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46309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46309</v>
      </c>
      <c r="F156" t="inlineStr">
        <is>
          <t>VÄSTRA GÖTALANDS LÄN</t>
        </is>
      </c>
      <c r="G156" t="inlineStr">
        <is>
          <t>TÖREBODA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44987</v>
      </c>
      <c r="E157" s="1" t="n">
        <v>46309</v>
      </c>
      <c r="F157" t="inlineStr">
        <is>
          <t>VÄSTRA GÖTALANDS LÄN</t>
        </is>
      </c>
      <c r="G157" t="inlineStr">
        <is>
          <t>TÖREBODA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46309</v>
      </c>
      <c r="F158" t="inlineStr">
        <is>
          <t>VÄSTRA GÖTALANDS LÄN</t>
        </is>
      </c>
      <c r="G158" t="inlineStr">
        <is>
          <t>TÖREBODA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45627</v>
      </c>
      <c r="E159" s="1" t="n">
        <v>46309</v>
      </c>
      <c r="F159" t="inlineStr">
        <is>
          <t>VÄSTRA GÖTALANDS LÄN</t>
        </is>
      </c>
      <c r="G159" t="inlineStr">
        <is>
          <t>TÖREBODA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46009</v>
      </c>
      <c r="E160" s="1" t="n">
        <v>46309</v>
      </c>
      <c r="F160" t="inlineStr">
        <is>
          <t>VÄSTRA GÖTALANDS LÄN</t>
        </is>
      </c>
      <c r="G160" t="inlineStr">
        <is>
          <t>TÖREBODA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45664</v>
      </c>
      <c r="E161" s="1" t="n">
        <v>46309</v>
      </c>
      <c r="F161" t="inlineStr">
        <is>
          <t>VÄSTRA GÖTALANDS LÄN</t>
        </is>
      </c>
      <c r="G161" t="inlineStr">
        <is>
          <t>TÖREBODA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46309</v>
      </c>
      <c r="F162" t="inlineStr">
        <is>
          <t>VÄSTRA GÖTALANDS LÄN</t>
        </is>
      </c>
      <c r="G162" t="inlineStr">
        <is>
          <t>TÖREBODA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45699</v>
      </c>
      <c r="E163" s="1" t="n">
        <v>46309</v>
      </c>
      <c r="F163" t="inlineStr">
        <is>
          <t>VÄSTRA GÖTALANDS LÄN</t>
        </is>
      </c>
      <c r="G163" t="inlineStr">
        <is>
          <t>TÖREBODA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32463-2022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44782</v>
      </c>
      <c r="E164" s="1" t="n">
        <v>46309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46309</v>
      </c>
      <c r="F165" t="inlineStr">
        <is>
          <t>VÄSTRA GÖTALANDS LÄN</t>
        </is>
      </c>
      <c r="G165" t="inlineStr">
        <is>
          <t>TÖREBODA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44756</v>
      </c>
      <c r="E166" s="1" t="n">
        <v>46309</v>
      </c>
      <c r="F166" t="inlineStr">
        <is>
          <t>VÄSTRA GÖTALANDS LÄN</t>
        </is>
      </c>
      <c r="G166" t="inlineStr">
        <is>
          <t>TÖREBODA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46100</v>
      </c>
      <c r="E167" s="1" t="n">
        <v>46309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45643</v>
      </c>
      <c r="E168" s="1" t="n">
        <v>46309</v>
      </c>
      <c r="F168" t="inlineStr">
        <is>
          <t>VÄSTRA GÖTALANDS LÄN</t>
        </is>
      </c>
      <c r="G168" t="inlineStr">
        <is>
          <t>TÖREBODA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15567-2026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46106</v>
      </c>
      <c r="E169" s="1" t="n">
        <v>46309</v>
      </c>
      <c r="F169" t="inlineStr">
        <is>
          <t>VÄSTRA GÖTALANDS LÄN</t>
        </is>
      </c>
      <c r="G169" t="inlineStr">
        <is>
          <t>TÖREBODA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16200-2026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46309</v>
      </c>
      <c r="F170" t="inlineStr">
        <is>
          <t>VÄSTRA GÖTALANDS LÄN</t>
        </is>
      </c>
      <c r="G170" t="inlineStr">
        <is>
          <t>TÖREBODA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45049</v>
      </c>
      <c r="E171" s="1" t="n">
        <v>46309</v>
      </c>
      <c r="F171" t="inlineStr">
        <is>
          <t>VÄSTRA GÖTALANDS LÄN</t>
        </is>
      </c>
      <c r="G171" t="inlineStr">
        <is>
          <t>TÖREBODA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46309</v>
      </c>
      <c r="F172" t="inlineStr">
        <is>
          <t>VÄSTRA GÖTALANDS LÄN</t>
        </is>
      </c>
      <c r="G172" t="inlineStr">
        <is>
          <t>TÖREBODA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46309</v>
      </c>
      <c r="F173" t="inlineStr">
        <is>
          <t>VÄSTRA GÖTALANDS LÄN</t>
        </is>
      </c>
      <c r="G173" t="inlineStr">
        <is>
          <t>TÖREBODA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46309</v>
      </c>
      <c r="F174" t="inlineStr">
        <is>
          <t>VÄSTRA GÖTALANDS LÄN</t>
        </is>
      </c>
      <c r="G174" t="inlineStr">
        <is>
          <t>TÖREBODA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45757</v>
      </c>
      <c r="E175" s="1" t="n">
        <v>46309</v>
      </c>
      <c r="F175" t="inlineStr">
        <is>
          <t>VÄSTRA GÖTALANDS LÄN</t>
        </is>
      </c>
      <c r="G175" t="inlineStr">
        <is>
          <t>TÖREBODA</t>
        </is>
      </c>
      <c r="I175" t="n">
        <v>49.4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62542-2022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44924</v>
      </c>
      <c r="E176" s="1" t="n">
        <v>46309</v>
      </c>
      <c r="F176" t="inlineStr">
        <is>
          <t>VÄSTRA GÖTALANDS LÄN</t>
        </is>
      </c>
      <c r="G176" t="inlineStr">
        <is>
          <t>TÖREBODA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46309</v>
      </c>
      <c r="F177" t="inlineStr">
        <is>
          <t>VÄSTRA GÖTALANDS LÄN</t>
        </is>
      </c>
      <c r="G177" t="inlineStr">
        <is>
          <t>TÖREBODA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46309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Övriga statliga verk och myndigheter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45553</v>
      </c>
      <c r="E179" s="1" t="n">
        <v>46309</v>
      </c>
      <c r="F179" t="inlineStr">
        <is>
          <t>VÄSTRA GÖTALANDS LÄN</t>
        </is>
      </c>
      <c r="G179" t="inlineStr">
        <is>
          <t>TÖREBODA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44890</v>
      </c>
      <c r="E180" s="1" t="n">
        <v>46309</v>
      </c>
      <c r="F180" t="inlineStr">
        <is>
          <t>VÄSTRA GÖTALANDS LÄN</t>
        </is>
      </c>
      <c r="G180" t="inlineStr">
        <is>
          <t>TÖREBODA</t>
        </is>
      </c>
      <c r="H180" t="inlineStr">
        <is>
          <t>Övriga statliga verk och myndigheter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46309</v>
      </c>
      <c r="F181" t="inlineStr">
        <is>
          <t>VÄSTRA GÖTALANDS LÄN</t>
        </is>
      </c>
      <c r="G181" t="inlineStr">
        <is>
          <t>TÖREBODA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19706-2026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46134</v>
      </c>
      <c r="E182" s="1" t="n">
        <v>46309</v>
      </c>
      <c r="F182" t="inlineStr">
        <is>
          <t>VÄSTRA GÖTALANDS LÄN</t>
        </is>
      </c>
      <c r="G182" t="inlineStr">
        <is>
          <t>TÖREBODA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46309</v>
      </c>
      <c r="F183" t="inlineStr">
        <is>
          <t>VÄSTRA GÖTALANDS LÄN</t>
        </is>
      </c>
      <c r="G183" t="inlineStr">
        <is>
          <t>TÖREBODA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45750</v>
      </c>
      <c r="E184" s="1" t="n">
        <v>46309</v>
      </c>
      <c r="F184" t="inlineStr">
        <is>
          <t>VÄSTRA GÖTALANDS LÄN</t>
        </is>
      </c>
      <c r="G184" t="inlineStr">
        <is>
          <t>TÖREBODA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46309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46309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45384</v>
      </c>
      <c r="E187" s="1" t="n">
        <v>46309</v>
      </c>
      <c r="F187" t="inlineStr">
        <is>
          <t>VÄSTRA GÖTALANDS LÄN</t>
        </is>
      </c>
      <c r="G187" t="inlineStr">
        <is>
          <t>TÖREBODA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46309</v>
      </c>
      <c r="F188" t="inlineStr">
        <is>
          <t>VÄSTRA GÖTALANDS LÄN</t>
        </is>
      </c>
      <c r="G188" t="inlineStr">
        <is>
          <t>TÖREBODA</t>
        </is>
      </c>
      <c r="H188" t="inlineStr">
        <is>
          <t>Sveaskog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34865-2023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45142</v>
      </c>
      <c r="E189" s="1" t="n">
        <v>46309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46309</v>
      </c>
      <c r="F190" t="inlineStr">
        <is>
          <t>VÄSTRA GÖTALANDS LÄN</t>
        </is>
      </c>
      <c r="G190" t="inlineStr">
        <is>
          <t>TÖREBODA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46309</v>
      </c>
      <c r="F191" t="inlineStr">
        <is>
          <t>VÄSTRA GÖTALANDS LÄN</t>
        </is>
      </c>
      <c r="G191" t="inlineStr">
        <is>
          <t>TÖREBODA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45133</v>
      </c>
      <c r="E192" s="1" t="n">
        <v>46309</v>
      </c>
      <c r="F192" t="inlineStr">
        <is>
          <t>VÄSTRA GÖTALANDS LÄN</t>
        </is>
      </c>
      <c r="G192" t="inlineStr">
        <is>
          <t>TÖREBODA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45706</v>
      </c>
      <c r="E193" s="1" t="n">
        <v>46309</v>
      </c>
      <c r="F193" t="inlineStr">
        <is>
          <t>VÄSTRA GÖTALANDS LÄN</t>
        </is>
      </c>
      <c r="G193" t="inlineStr">
        <is>
          <t>TÖREBODA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24545-2024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46309</v>
      </c>
      <c r="F194" t="inlineStr">
        <is>
          <t>VÄSTRA GÖTALANDS LÄN</t>
        </is>
      </c>
      <c r="G194" t="inlineStr">
        <is>
          <t>TÖREBODA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45166</v>
      </c>
      <c r="E195" s="1" t="n">
        <v>46309</v>
      </c>
      <c r="F195" t="inlineStr">
        <is>
          <t>VÄSTRA GÖTALANDS LÄN</t>
        </is>
      </c>
      <c r="G195" t="inlineStr">
        <is>
          <t>TÖREBODA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45556</v>
      </c>
      <c r="E196" s="1" t="n">
        <v>46309</v>
      </c>
      <c r="F196" t="inlineStr">
        <is>
          <t>VÄSTRA GÖTALANDS LÄN</t>
        </is>
      </c>
      <c r="G196" t="inlineStr">
        <is>
          <t>TÖREBODA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46309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22021-2024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45443</v>
      </c>
      <c r="E198" s="1" t="n">
        <v>46309</v>
      </c>
      <c r="F198" t="inlineStr">
        <is>
          <t>VÄSTRA GÖTALANDS LÄN</t>
        </is>
      </c>
      <c r="G198" t="inlineStr">
        <is>
          <t>TÖREBODA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45457</v>
      </c>
      <c r="E199" s="1" t="n">
        <v>46309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46309</v>
      </c>
      <c r="F200" t="inlineStr">
        <is>
          <t>VÄSTRA GÖTALANDS LÄN</t>
        </is>
      </c>
      <c r="G200" t="inlineStr">
        <is>
          <t>TÖREBODA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46146</v>
      </c>
      <c r="E201" s="1" t="n">
        <v>46309</v>
      </c>
      <c r="F201" t="inlineStr">
        <is>
          <t>VÄSTRA GÖTALANDS LÄN</t>
        </is>
      </c>
      <c r="G201" t="inlineStr">
        <is>
          <t>TÖREBODA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46309</v>
      </c>
      <c r="F202" t="inlineStr">
        <is>
          <t>VÄSTRA GÖTALANDS LÄN</t>
        </is>
      </c>
      <c r="G202" t="inlineStr">
        <is>
          <t>TÖREBODA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46309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46309</v>
      </c>
      <c r="F204" t="inlineStr">
        <is>
          <t>VÄSTRA GÖTALANDS LÄN</t>
        </is>
      </c>
      <c r="G204" t="inlineStr">
        <is>
          <t>TÖREBODA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44664</v>
      </c>
      <c r="E205" s="1" t="n">
        <v>46309</v>
      </c>
      <c r="F205" t="inlineStr">
        <is>
          <t>VÄSTRA GÖTALANDS LÄN</t>
        </is>
      </c>
      <c r="G205" t="inlineStr">
        <is>
          <t>TÖREBODA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46309</v>
      </c>
      <c r="F206" t="inlineStr">
        <is>
          <t>VÄSTRA GÖTALANDS LÄN</t>
        </is>
      </c>
      <c r="G206" t="inlineStr">
        <is>
          <t>TÖREBODA</t>
        </is>
      </c>
      <c r="I206" t="n">
        <v>8.6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46309</v>
      </c>
      <c r="F207" t="inlineStr">
        <is>
          <t>VÄSTRA GÖTALANDS LÄN</t>
        </is>
      </c>
      <c r="G207" t="inlineStr">
        <is>
          <t>TÖREBODA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46309</v>
      </c>
      <c r="F208" t="inlineStr">
        <is>
          <t>VÄSTRA GÖTALANDS LÄN</t>
        </is>
      </c>
      <c r="G208" t="inlineStr">
        <is>
          <t>TÖREBODA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46309</v>
      </c>
      <c r="F209" t="inlineStr">
        <is>
          <t>VÄSTRA GÖTALANDS LÄN</t>
        </is>
      </c>
      <c r="G209" t="inlineStr">
        <is>
          <t>TÖREBODA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46309</v>
      </c>
      <c r="F210" t="inlineStr">
        <is>
          <t>VÄSTRA GÖTALANDS LÄN</t>
        </is>
      </c>
      <c r="G210" t="inlineStr">
        <is>
          <t>TÖREBODA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46309</v>
      </c>
      <c r="F211" t="inlineStr">
        <is>
          <t>VÄSTRA GÖTALANDS LÄN</t>
        </is>
      </c>
      <c r="G211" t="inlineStr">
        <is>
          <t>TÖREBODA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46309</v>
      </c>
      <c r="F212" t="inlineStr">
        <is>
          <t>VÄSTRA GÖTALANDS LÄN</t>
        </is>
      </c>
      <c r="G212" t="inlineStr">
        <is>
          <t>TÖREBODA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46152</v>
      </c>
      <c r="E213" s="1" t="n">
        <v>46309</v>
      </c>
      <c r="F213" t="inlineStr">
        <is>
          <t>VÄSTRA GÖTALANDS LÄN</t>
        </is>
      </c>
      <c r="G213" t="inlineStr">
        <is>
          <t>TÖREBODA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21962-2026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46152</v>
      </c>
      <c r="E214" s="1" t="n">
        <v>46309</v>
      </c>
      <c r="F214" t="inlineStr">
        <is>
          <t>VÄSTRA GÖTALANDS LÄN</t>
        </is>
      </c>
      <c r="G214" t="inlineStr">
        <is>
          <t>TÖREBODA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46152</v>
      </c>
      <c r="E215" s="1" t="n">
        <v>46309</v>
      </c>
      <c r="F215" t="inlineStr">
        <is>
          <t>VÄSTRA GÖTALANDS LÄN</t>
        </is>
      </c>
      <c r="G215" t="inlineStr">
        <is>
          <t>TÖREBODA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46309</v>
      </c>
      <c r="F216" t="inlineStr">
        <is>
          <t>VÄSTRA GÖTALANDS LÄN</t>
        </is>
      </c>
      <c r="G216" t="inlineStr">
        <is>
          <t>TÖREBODA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46309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Övriga Aktiebolag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45191</v>
      </c>
      <c r="E218" s="1" t="n">
        <v>46309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46168</v>
      </c>
      <c r="E219" s="1" t="n">
        <v>46309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24161-2026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46168</v>
      </c>
      <c r="E220" s="1" t="n">
        <v>46309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Sveaskog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46309</v>
      </c>
      <c r="F221" t="inlineStr">
        <is>
          <t>VÄSTRA GÖTALANDS LÄN</t>
        </is>
      </c>
      <c r="G221" t="inlineStr">
        <is>
          <t>TÖREBODA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45236</v>
      </c>
      <c r="E222" s="1" t="n">
        <v>46309</v>
      </c>
      <c r="F222" t="inlineStr">
        <is>
          <t>VÄSTRA GÖTALANDS LÄN</t>
        </is>
      </c>
      <c r="G222" t="inlineStr">
        <is>
          <t>TÖREBODA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46309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44697</v>
      </c>
      <c r="E224" s="1" t="n">
        <v>46309</v>
      </c>
      <c r="F224" t="inlineStr">
        <is>
          <t>VÄSTRA GÖTALANDS LÄN</t>
        </is>
      </c>
      <c r="G224" t="inlineStr">
        <is>
          <t>TÖREBODA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45156</v>
      </c>
      <c r="E225" s="1" t="n">
        <v>46309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35487-2024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46309</v>
      </c>
      <c r="F226" t="inlineStr">
        <is>
          <t>VÄSTRA GÖTALANDS LÄN</t>
        </is>
      </c>
      <c r="G226" t="inlineStr">
        <is>
          <t>TÖREBODA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45237</v>
      </c>
      <c r="E227" s="1" t="n">
        <v>46309</v>
      </c>
      <c r="F227" t="inlineStr">
        <is>
          <t>VÄSTRA GÖTALANDS LÄN</t>
        </is>
      </c>
      <c r="G227" t="inlineStr">
        <is>
          <t>TÖREBODA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45763</v>
      </c>
      <c r="E228" s="1" t="n">
        <v>46309</v>
      </c>
      <c r="F228" t="inlineStr">
        <is>
          <t>VÄSTRA GÖTALANDS LÄN</t>
        </is>
      </c>
      <c r="G228" t="inlineStr">
        <is>
          <t>TÖREBODA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46309</v>
      </c>
      <c r="F229" t="inlineStr">
        <is>
          <t>VÄSTRA GÖTALANDS LÄN</t>
        </is>
      </c>
      <c r="G229" t="inlineStr">
        <is>
          <t>TÖREBODA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44937</v>
      </c>
      <c r="E230" s="1" t="n">
        <v>46309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Övriga statliga verk och myndigheter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28965-2022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46309</v>
      </c>
      <c r="F231" t="inlineStr">
        <is>
          <t>VÄSTRA GÖTALANDS LÄN</t>
        </is>
      </c>
      <c r="G231" t="inlineStr">
        <is>
          <t>TÖREBODA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28196-2022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44746</v>
      </c>
      <c r="E232" s="1" t="n">
        <v>46309</v>
      </c>
      <c r="F232" t="inlineStr">
        <is>
          <t>VÄSTRA GÖTALANDS LÄN</t>
        </is>
      </c>
      <c r="G232" t="inlineStr">
        <is>
          <t>TÖREBODA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35232-2024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46309</v>
      </c>
      <c r="F233" t="inlineStr">
        <is>
          <t>VÄSTRA GÖTALANDS LÄN</t>
        </is>
      </c>
      <c r="G233" t="inlineStr">
        <is>
          <t>TÖREBODA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46309</v>
      </c>
      <c r="F234" t="inlineStr">
        <is>
          <t>VÄSTRA GÖTALANDS LÄN</t>
        </is>
      </c>
      <c r="G234" t="inlineStr">
        <is>
          <t>TÖREBODA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22861-2024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45448</v>
      </c>
      <c r="E235" s="1" t="n">
        <v>46309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45694</v>
      </c>
      <c r="E236" s="1" t="n">
        <v>46309</v>
      </c>
      <c r="F236" t="inlineStr">
        <is>
          <t>VÄSTRA GÖTALANDS LÄN</t>
        </is>
      </c>
      <c r="G236" t="inlineStr">
        <is>
          <t>TÖREBODA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45233</v>
      </c>
      <c r="E237" s="1" t="n">
        <v>46309</v>
      </c>
      <c r="F237" t="inlineStr">
        <is>
          <t>VÄSTRA GÖTALANDS LÄN</t>
        </is>
      </c>
      <c r="G237" t="inlineStr">
        <is>
          <t>TÖREBODA</t>
        </is>
      </c>
      <c r="H237" t="inlineStr">
        <is>
          <t>Övriga statliga verk och myndigheter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46309</v>
      </c>
      <c r="F238" t="inlineStr">
        <is>
          <t>VÄSTRA GÖTALANDS LÄN</t>
        </is>
      </c>
      <c r="G238" t="inlineStr">
        <is>
          <t>TÖREBODA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46309</v>
      </c>
      <c r="F239" t="inlineStr">
        <is>
          <t>VÄSTRA GÖTALANDS LÄN</t>
        </is>
      </c>
      <c r="G239" t="inlineStr">
        <is>
          <t>TÖREBODA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26759-2022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44740</v>
      </c>
      <c r="E240" s="1" t="n">
        <v>46309</v>
      </c>
      <c r="F240" t="inlineStr">
        <is>
          <t>VÄSTRA GÖTALANDS LÄN</t>
        </is>
      </c>
      <c r="G240" t="inlineStr">
        <is>
          <t>TÖREBODA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61873-2024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45651</v>
      </c>
      <c r="E241" s="1" t="n">
        <v>46309</v>
      </c>
      <c r="F241" t="inlineStr">
        <is>
          <t>VÄSTRA GÖTALANDS LÄN</t>
        </is>
      </c>
      <c r="G241" t="inlineStr">
        <is>
          <t>TÖREBODA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46309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44858</v>
      </c>
      <c r="E243" s="1" t="n">
        <v>46309</v>
      </c>
      <c r="F243" t="inlineStr">
        <is>
          <t>VÄSTRA GÖTALANDS LÄN</t>
        </is>
      </c>
      <c r="G243" t="inlineStr">
        <is>
          <t>TÖREBODA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58226-2022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46309</v>
      </c>
      <c r="F244" t="inlineStr">
        <is>
          <t>VÄSTRA GÖTALANDS LÄN</t>
        </is>
      </c>
      <c r="G244" t="inlineStr">
        <is>
          <t>TÖREBODA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46309</v>
      </c>
      <c r="F245" t="inlineStr">
        <is>
          <t>VÄSTRA GÖTALANDS LÄN</t>
        </is>
      </c>
      <c r="G245" t="inlineStr">
        <is>
          <t>TÖREBODA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30200-2026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46309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46309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46206</v>
      </c>
      <c r="E248" s="1" t="n">
        <v>46309</v>
      </c>
      <c r="F248" t="inlineStr">
        <is>
          <t>VÄSTRA GÖTALANDS LÄN</t>
        </is>
      </c>
      <c r="G248" t="inlineStr">
        <is>
          <t>TÖREBODA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45268</v>
      </c>
      <c r="E249" s="1" t="n">
        <v>46309</v>
      </c>
      <c r="F249" t="inlineStr">
        <is>
          <t>VÄSTRA GÖTALANDS LÄN</t>
        </is>
      </c>
      <c r="G249" t="inlineStr">
        <is>
          <t>TÖREBODA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46210</v>
      </c>
      <c r="E250" s="1" t="n">
        <v>46309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10.7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44951</v>
      </c>
      <c r="E251" s="1" t="n">
        <v>46309</v>
      </c>
      <c r="F251" t="inlineStr">
        <is>
          <t>VÄSTRA GÖTALANDS LÄN</t>
        </is>
      </c>
      <c r="G251" t="inlineStr">
        <is>
          <t>TÖREBODA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44923</v>
      </c>
      <c r="E252" s="1" t="n">
        <v>46309</v>
      </c>
      <c r="F252" t="inlineStr">
        <is>
          <t>VÄSTRA GÖTALANDS LÄN</t>
        </is>
      </c>
      <c r="G252" t="inlineStr">
        <is>
          <t>TÖREBODA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45344</v>
      </c>
      <c r="E253" s="1" t="n">
        <v>46309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44964</v>
      </c>
      <c r="E254" s="1" t="n">
        <v>46309</v>
      </c>
      <c r="F254" t="inlineStr">
        <is>
          <t>VÄSTRA GÖTALANDS LÄN</t>
        </is>
      </c>
      <c r="G254" t="inlineStr">
        <is>
          <t>TÖREBODA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44816</v>
      </c>
      <c r="E255" s="1" t="n">
        <v>46309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Kyrkan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46268</v>
      </c>
      <c r="E256" s="1" t="n">
        <v>46309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36390-2026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46268</v>
      </c>
      <c r="E257" s="1" t="n">
        <v>46309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46268</v>
      </c>
      <c r="E258" s="1" t="n">
        <v>46309</v>
      </c>
      <c r="F258" t="inlineStr">
        <is>
          <t>VÄSTRA GÖTALANDS LÄN</t>
        </is>
      </c>
      <c r="G258" t="inlineStr">
        <is>
          <t>TÖREBODA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46268</v>
      </c>
      <c r="E259" s="1" t="n">
        <v>46309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44599</v>
      </c>
      <c r="E260" s="1" t="n">
        <v>46309</v>
      </c>
      <c r="F260" t="inlineStr">
        <is>
          <t>VÄSTRA GÖTALANDS LÄN</t>
        </is>
      </c>
      <c r="G260" t="inlineStr">
        <is>
          <t>TÖREBODA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36384-2026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46268</v>
      </c>
      <c r="E261" s="1" t="n">
        <v>46309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36386-2026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46268</v>
      </c>
      <c r="E262" s="1" t="n">
        <v>46309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46309</v>
      </c>
      <c r="F263" t="inlineStr">
        <is>
          <t>VÄSTRA GÖTALANDS LÄN</t>
        </is>
      </c>
      <c r="G263" t="inlineStr">
        <is>
          <t>TÖREBODA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46309</v>
      </c>
      <c r="F264" t="inlineStr">
        <is>
          <t>VÄSTRA GÖTALANDS LÄN</t>
        </is>
      </c>
      <c r="G264" t="inlineStr">
        <is>
          <t>TÖREBODA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46309</v>
      </c>
      <c r="F265" t="inlineStr">
        <is>
          <t>VÄSTRA GÖTALANDS LÄN</t>
        </is>
      </c>
      <c r="G265" t="inlineStr">
        <is>
          <t>TÖREBODA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44901</v>
      </c>
      <c r="E266" s="1" t="n">
        <v>46309</v>
      </c>
      <c r="F266" t="inlineStr">
        <is>
          <t>VÄSTRA GÖTALANDS LÄN</t>
        </is>
      </c>
      <c r="G266" t="inlineStr">
        <is>
          <t>TÖREBODA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46309</v>
      </c>
      <c r="F267" t="inlineStr">
        <is>
          <t>VÄSTRA GÖTALANDS LÄN</t>
        </is>
      </c>
      <c r="G267" t="inlineStr">
        <is>
          <t>TÖREBODA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44937</v>
      </c>
      <c r="E268" s="1" t="n">
        <v>46309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statliga verk och myndigheter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46309</v>
      </c>
      <c r="F269" t="inlineStr">
        <is>
          <t>VÄSTRA GÖTALANDS LÄN</t>
        </is>
      </c>
      <c r="G269" t="inlineStr">
        <is>
          <t>TÖREBODA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44746</v>
      </c>
      <c r="E270" s="1" t="n">
        <v>46309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46309</v>
      </c>
      <c r="F271" t="inlineStr">
        <is>
          <t>VÄSTRA GÖTALANDS LÄN</t>
        </is>
      </c>
      <c r="G271" t="inlineStr">
        <is>
          <t>TÖREBODA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46231</v>
      </c>
      <c r="E272" s="1" t="n">
        <v>46309</v>
      </c>
      <c r="F272" t="inlineStr">
        <is>
          <t>VÄSTRA GÖTALANDS LÄN</t>
        </is>
      </c>
      <c r="G272" t="inlineStr">
        <is>
          <t>TÖREBODA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6446-2025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45699</v>
      </c>
      <c r="E273" s="1" t="n">
        <v>46309</v>
      </c>
      <c r="F273" t="inlineStr">
        <is>
          <t>VÄSTRA GÖTALANDS LÄN</t>
        </is>
      </c>
      <c r="G273" t="inlineStr">
        <is>
          <t>TÖREBODA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46309</v>
      </c>
      <c r="F274" t="inlineStr">
        <is>
          <t>VÄSTRA GÖTALANDS LÄN</t>
        </is>
      </c>
      <c r="G274" t="inlineStr">
        <is>
          <t>TÖREBODA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45349</v>
      </c>
      <c r="E275" s="1" t="n">
        <v>46309</v>
      </c>
      <c r="F275" t="inlineStr">
        <is>
          <t>VÄSTRA GÖTALANDS LÄN</t>
        </is>
      </c>
      <c r="G275" t="inlineStr">
        <is>
          <t>TÖREBODA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44987</v>
      </c>
      <c r="E276" s="1" t="n">
        <v>46309</v>
      </c>
      <c r="F276" t="inlineStr">
        <is>
          <t>VÄSTRA GÖTALANDS LÄN</t>
        </is>
      </c>
      <c r="G276" t="inlineStr">
        <is>
          <t>TÖREBODA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44987</v>
      </c>
      <c r="E277" s="1" t="n">
        <v>46309</v>
      </c>
      <c r="F277" t="inlineStr">
        <is>
          <t>VÄSTRA GÖTALANDS LÄN</t>
        </is>
      </c>
      <c r="G277" t="inlineStr">
        <is>
          <t>TÖREBODA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44956</v>
      </c>
      <c r="E278" s="1" t="n">
        <v>46309</v>
      </c>
      <c r="F278" t="inlineStr">
        <is>
          <t>VÄSTRA GÖTALANDS LÄN</t>
        </is>
      </c>
      <c r="G278" t="inlineStr">
        <is>
          <t>TÖREBODA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37453-2026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46275</v>
      </c>
      <c r="E279" s="1" t="n">
        <v>46309</v>
      </c>
      <c r="F279" t="inlineStr">
        <is>
          <t>VÄSTRA GÖTALANDS LÄN</t>
        </is>
      </c>
      <c r="G279" t="inlineStr">
        <is>
          <t>TÖREBODA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44792</v>
      </c>
      <c r="E280" s="1" t="n">
        <v>46309</v>
      </c>
      <c r="F280" t="inlineStr">
        <is>
          <t>VÄSTRA GÖTALANDS LÄN</t>
        </is>
      </c>
      <c r="G280" t="inlineStr">
        <is>
          <t>TÖREBODA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46309</v>
      </c>
      <c r="F281" t="inlineStr">
        <is>
          <t>VÄSTRA GÖTALANDS LÄN</t>
        </is>
      </c>
      <c r="G281" t="inlineStr">
        <is>
          <t>TÖREBODA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4194-2024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45324</v>
      </c>
      <c r="E282" s="1" t="n">
        <v>46309</v>
      </c>
      <c r="F282" t="inlineStr">
        <is>
          <t>VÄSTRA GÖTALANDS LÄN</t>
        </is>
      </c>
      <c r="G282" t="inlineStr">
        <is>
          <t>TÖREBODA</t>
        </is>
      </c>
      <c r="I282" t="n">
        <v>28.9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45322</v>
      </c>
      <c r="E283" s="1" t="n">
        <v>46309</v>
      </c>
      <c r="F283" t="inlineStr">
        <is>
          <t>VÄSTRA GÖTALANDS LÄN</t>
        </is>
      </c>
      <c r="G283" t="inlineStr">
        <is>
          <t>TÖREBODA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45056</v>
      </c>
      <c r="E284" s="1" t="n">
        <v>46309</v>
      </c>
      <c r="F284" t="inlineStr">
        <is>
          <t>VÄSTRA GÖTALANDS LÄN</t>
        </is>
      </c>
      <c r="G284" t="inlineStr">
        <is>
          <t>TÖREBODA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27086-2022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46309</v>
      </c>
      <c r="F285" t="inlineStr">
        <is>
          <t>VÄSTRA GÖTALANDS LÄN</t>
        </is>
      </c>
      <c r="G285" t="inlineStr">
        <is>
          <t>TÖREBODA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36393-2026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46268</v>
      </c>
      <c r="E286" s="1" t="n">
        <v>46309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56831-2022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44894</v>
      </c>
      <c r="E287" s="1" t="n">
        <v>46309</v>
      </c>
      <c r="F287" t="inlineStr">
        <is>
          <t>VÄSTRA GÖTALANDS LÄN</t>
        </is>
      </c>
      <c r="G287" t="inlineStr">
        <is>
          <t>TÖREBODA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46282</v>
      </c>
      <c r="E288" s="1" t="n">
        <v>46309</v>
      </c>
      <c r="F288" t="inlineStr">
        <is>
          <t>VÄSTRA GÖTALANDS LÄN</t>
        </is>
      </c>
      <c r="G288" t="inlineStr">
        <is>
          <t>TÖREBODA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46282</v>
      </c>
      <c r="E289" s="1" t="n">
        <v>46309</v>
      </c>
      <c r="F289" t="inlineStr">
        <is>
          <t>VÄSTRA GÖTALANDS LÄN</t>
        </is>
      </c>
      <c r="G289" t="inlineStr">
        <is>
          <t>TÖREBODA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46309</v>
      </c>
      <c r="F290" t="inlineStr">
        <is>
          <t>VÄSTRA GÖTALANDS LÄN</t>
        </is>
      </c>
      <c r="G290" t="inlineStr">
        <is>
          <t>TÖREBODA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46309</v>
      </c>
      <c r="F291" t="inlineStr">
        <is>
          <t>VÄSTRA GÖTALANDS LÄN</t>
        </is>
      </c>
      <c r="G291" t="inlineStr">
        <is>
          <t>TÖREBODA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44978</v>
      </c>
      <c r="E292" s="1" t="n">
        <v>46309</v>
      </c>
      <c r="F292" t="inlineStr">
        <is>
          <t>VÄSTRA GÖTALANDS LÄN</t>
        </is>
      </c>
      <c r="G292" t="inlineStr">
        <is>
          <t>TÖREBODA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41627-2022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44827</v>
      </c>
      <c r="E293" s="1" t="n">
        <v>46309</v>
      </c>
      <c r="F293" t="inlineStr">
        <is>
          <t>VÄSTRA GÖTALANDS LÄN</t>
        </is>
      </c>
      <c r="G293" t="inlineStr">
        <is>
          <t>TÖREBODA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41632-2022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44827</v>
      </c>
      <c r="E294" s="1" t="n">
        <v>46309</v>
      </c>
      <c r="F294" t="inlineStr">
        <is>
          <t>VÄSTRA GÖTALANDS LÄN</t>
        </is>
      </c>
      <c r="G294" t="inlineStr">
        <is>
          <t>TÖREBODA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39282-2026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46288</v>
      </c>
      <c r="E295" s="1" t="n">
        <v>46309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45552</v>
      </c>
      <c r="E296" s="1" t="n">
        <v>46309</v>
      </c>
      <c r="F296" t="inlineStr">
        <is>
          <t>VÄSTRA GÖTALANDS LÄN</t>
        </is>
      </c>
      <c r="G296" t="inlineStr">
        <is>
          <t>TÖREBODA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45700</v>
      </c>
      <c r="E297" s="1" t="n">
        <v>46309</v>
      </c>
      <c r="F297" t="inlineStr">
        <is>
          <t>VÄSTRA GÖTALANDS LÄN</t>
        </is>
      </c>
      <c r="G297" t="inlineStr">
        <is>
          <t>TÖREBODA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39652-2024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45552</v>
      </c>
      <c r="E298" s="1" t="n">
        <v>46309</v>
      </c>
      <c r="F298" t="inlineStr">
        <is>
          <t>VÄSTRA GÖTALANDS LÄN</t>
        </is>
      </c>
      <c r="G298" t="inlineStr">
        <is>
          <t>TÖREBODA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63113-2023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46309</v>
      </c>
      <c r="F299" t="inlineStr">
        <is>
          <t>VÄSTRA GÖTALANDS LÄN</t>
        </is>
      </c>
      <c r="G299" t="inlineStr">
        <is>
          <t>TÖREBODA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8315-2024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46309</v>
      </c>
      <c r="F300" t="inlineStr">
        <is>
          <t>VÄSTRA GÖTALANDS LÄN</t>
        </is>
      </c>
      <c r="G300" t="inlineStr">
        <is>
          <t>TÖREBODA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45245</v>
      </c>
      <c r="E301" s="1" t="n">
        <v>46309</v>
      </c>
      <c r="F301" t="inlineStr">
        <is>
          <t>VÄSTRA GÖTALANDS LÄN</t>
        </is>
      </c>
      <c r="G301" t="inlineStr">
        <is>
          <t>TÖREBODA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46309</v>
      </c>
      <c r="F302" t="inlineStr">
        <is>
          <t>VÄSTRA GÖTALANDS LÄN</t>
        </is>
      </c>
      <c r="G302" t="inlineStr">
        <is>
          <t>TÖREBODA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46309</v>
      </c>
      <c r="F303" t="inlineStr">
        <is>
          <t>VÄSTRA GÖTALANDS LÄN</t>
        </is>
      </c>
      <c r="G303" t="inlineStr">
        <is>
          <t>TÖREBODA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46309</v>
      </c>
      <c r="F304" t="inlineStr">
        <is>
          <t>VÄSTRA GÖTALANDS LÄN</t>
        </is>
      </c>
      <c r="G304" t="inlineStr">
        <is>
          <t>TÖREBODA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44907</v>
      </c>
      <c r="E305" s="1" t="n">
        <v>46309</v>
      </c>
      <c r="F305" t="inlineStr">
        <is>
          <t>VÄSTRA GÖTALANDS LÄN</t>
        </is>
      </c>
      <c r="G305" t="inlineStr">
        <is>
          <t>TÖREBODA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8402-2024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45352</v>
      </c>
      <c r="E306" s="1" t="n">
        <v>46309</v>
      </c>
      <c r="F306" t="inlineStr">
        <is>
          <t>VÄSTRA GÖTALANDS LÄN</t>
        </is>
      </c>
      <c r="G306" t="inlineStr">
        <is>
          <t>TÖREBODA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46309</v>
      </c>
      <c r="F307" t="inlineStr">
        <is>
          <t>VÄSTRA GÖTALANDS LÄN</t>
        </is>
      </c>
      <c r="G307" t="inlineStr">
        <is>
          <t>TÖREBODA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46248</v>
      </c>
      <c r="E308" s="1" t="n">
        <v>46309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33523-2026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46309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33524-2026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46248</v>
      </c>
      <c r="E310" s="1" t="n">
        <v>46309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46251</v>
      </c>
      <c r="E311" s="1" t="n">
        <v>46309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45082</v>
      </c>
      <c r="E312" s="1" t="n">
        <v>46309</v>
      </c>
      <c r="F312" t="inlineStr">
        <is>
          <t>VÄSTRA GÖTALANDS LÄN</t>
        </is>
      </c>
      <c r="G312" t="inlineStr">
        <is>
          <t>TÖREBODA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46309</v>
      </c>
      <c r="F313" t="inlineStr">
        <is>
          <t>VÄSTRA GÖTALANDS LÄN</t>
        </is>
      </c>
      <c r="G313" t="inlineStr">
        <is>
          <t>TÖREBODA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46309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46309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11730-2025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45727</v>
      </c>
      <c r="E316" s="1" t="n">
        <v>46309</v>
      </c>
      <c r="F316" t="inlineStr">
        <is>
          <t>VÄSTRA GÖTALANDS LÄN</t>
        </is>
      </c>
      <c r="G316" t="inlineStr">
        <is>
          <t>TÖREBODA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46296</v>
      </c>
      <c r="E317" s="1" t="n">
        <v>46309</v>
      </c>
      <c r="F317" t="inlineStr">
        <is>
          <t>VÄSTRA GÖTALANDS LÄN</t>
        </is>
      </c>
      <c r="G317" t="inlineStr">
        <is>
          <t>TÖREBODA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46309</v>
      </c>
      <c r="F318" t="inlineStr">
        <is>
          <t>VÄSTRA GÖTALANDS LÄN</t>
        </is>
      </c>
      <c r="G318" t="inlineStr">
        <is>
          <t>TÖREBODA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41982-2026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46303</v>
      </c>
      <c r="E319" s="1" t="n">
        <v>46309</v>
      </c>
      <c r="F319" t="inlineStr">
        <is>
          <t>VÄSTRA GÖTALANDS LÄN</t>
        </is>
      </c>
      <c r="G319" t="inlineStr">
        <is>
          <t>TÖREBODA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46308</v>
      </c>
      <c r="E320" s="1" t="n">
        <v>46309</v>
      </c>
      <c r="F320" t="inlineStr">
        <is>
          <t>VÄSTRA GÖTALANDS LÄN</t>
        </is>
      </c>
      <c r="G320" t="inlineStr">
        <is>
          <t>TÖREBODA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46308</v>
      </c>
      <c r="E321" s="1" t="n">
        <v>46309</v>
      </c>
      <c r="F321" t="inlineStr">
        <is>
          <t>VÄSTRA GÖTALANDS LÄN</t>
        </is>
      </c>
      <c r="G321" t="inlineStr">
        <is>
          <t>TÖREBODA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277-2025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45685</v>
      </c>
      <c r="E322" s="1" t="n">
        <v>46309</v>
      </c>
      <c r="F322" t="inlineStr">
        <is>
          <t>VÄSTRA GÖTALANDS LÄN</t>
        </is>
      </c>
      <c r="G322" t="inlineStr">
        <is>
          <t>TÖREBODA</t>
        </is>
      </c>
      <c r="I322" t="n">
        <v>186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671-2025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45716</v>
      </c>
      <c r="E323" s="1" t="n">
        <v>46309</v>
      </c>
      <c r="F323" t="inlineStr">
        <is>
          <t>VÄSTRA GÖTALANDS LÄN</t>
        </is>
      </c>
      <c r="G323" t="inlineStr">
        <is>
          <t>TÖREBODA</t>
        </is>
      </c>
      <c r="I323" t="n">
        <v>56.1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670-2025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45716</v>
      </c>
      <c r="E324" s="1" t="n">
        <v>46309</v>
      </c>
      <c r="F324" t="inlineStr">
        <is>
          <t>VÄSTRA GÖTALANDS LÄN</t>
        </is>
      </c>
      <c r="G324" t="inlineStr">
        <is>
          <t>TÖREBODA</t>
        </is>
      </c>
      <c r="I324" t="n">
        <v>23.4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178-2026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46045</v>
      </c>
      <c r="E325" s="1" t="n">
        <v>46309</v>
      </c>
      <c r="F325" t="inlineStr">
        <is>
          <t>VÄSTRA GÖTALANDS LÄN</t>
        </is>
      </c>
      <c r="G325" t="inlineStr">
        <is>
          <t>TÖREBODA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2026-10-14T02:00:38Z</dcterms:created>
  <dcterms:modified xmlns:dcterms="http://purl.org/dc/terms/" xmlns:xsi="http://www.w3.org/2001/XMLSchema-instance" xsi:type="dcterms:W3CDTF">2026-10-14T02:00:38Z</dcterms:modified>
</cp:coreProperties>
</file>