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46201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3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Knärot
Dropptaggsvamp
Blomkålssvamp
Mattlummer
Spillkråka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</v>
      </c>
      <c r="C3" s="1" t="n">
        <v>46201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Jungfrulin
Mattlummer
Grönvit nattviol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58019-2022</t>
        </is>
      </c>
      <c r="B4" s="1" t="n">
        <v>44900</v>
      </c>
      <c r="C4" s="1" t="n">
        <v>46201</v>
      </c>
      <c r="D4" t="inlineStr">
        <is>
          <t>VÄSTRA GÖTALANDS LÄN</t>
        </is>
      </c>
      <c r="E4" t="inlineStr">
        <is>
          <t>TÖREBODA</t>
        </is>
      </c>
      <c r="G4" t="n">
        <v>2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Lundviva
Strutbräken
Blåsippa
Gullviva</t>
        </is>
      </c>
      <c r="S4">
        <f>HYPERLINK("https://klasma.github.io/Logging_1473/artfynd/A 58019-2022 artfynd.xlsx", "A 58019-2022")</f>
        <v/>
      </c>
      <c r="T4">
        <f>HYPERLINK("https://klasma.github.io/Logging_1473/kartor/A 58019-2022 karta.png", "A 58019-2022")</f>
        <v/>
      </c>
      <c r="V4">
        <f>HYPERLINK("https://klasma.github.io/Logging_1473/klagomål/A 58019-2022 FSC-klagomål.docx", "A 58019-2022")</f>
        <v/>
      </c>
      <c r="W4">
        <f>HYPERLINK("https://klasma.github.io/Logging_1473/klagomålsmail/A 58019-2022 FSC-klagomål mail.docx", "A 58019-2022")</f>
        <v/>
      </c>
      <c r="X4">
        <f>HYPERLINK("https://klasma.github.io/Logging_1473/tillsyn/A 58019-2022 tillsynsbegäran.docx", "A 58019-2022")</f>
        <v/>
      </c>
      <c r="Y4">
        <f>HYPERLINK("https://klasma.github.io/Logging_1473/tillsynsmail/A 58019-2022 tillsynsbegäran mail.docx", "A 58019-2022")</f>
        <v/>
      </c>
    </row>
    <row r="5" ht="15" customHeight="1">
      <c r="A5" t="inlineStr">
        <is>
          <t>A 21931-2026</t>
        </is>
      </c>
      <c r="B5" s="1" t="n">
        <v>46150</v>
      </c>
      <c r="C5" s="1" t="n">
        <v>46201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Solfingersvamp
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46201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HYPERLINK("https://klasma.github.io/Logging_1473/artfynd/A 17615-2025 artfynd.xlsx", "A 17615-2025")</f>
        <v/>
      </c>
      <c r="T6">
        <f>HYPERLINK("https://klasma.github.io/Logging_1473/kartor/A 17615-2025 karta.png", "A 17615-2025")</f>
        <v/>
      </c>
      <c r="V6">
        <f>HYPERLINK("https://klasma.github.io/Logging_1473/klagomål/A 17615-2025 FSC-klagomål.docx", "A 17615-2025")</f>
        <v/>
      </c>
      <c r="W6">
        <f>HYPERLINK("https://klasma.github.io/Logging_1473/klagomålsmail/A 17615-2025 FSC-klagomål mail.docx", "A 17615-2025")</f>
        <v/>
      </c>
      <c r="X6">
        <f>HYPERLINK("https://klasma.github.io/Logging_1473/tillsyn/A 17615-2025 tillsynsbegäran.docx", "A 17615-2025")</f>
        <v/>
      </c>
      <c r="Y6">
        <f>HYPERLINK("https://klasma.github.io/Logging_1473/tillsynsmail/A 17615-2025 tillsynsbegäran mail.docx", "A 17615-2025")</f>
        <v/>
      </c>
    </row>
    <row r="7" ht="15" customHeight="1">
      <c r="A7" t="inlineStr">
        <is>
          <t>A 39656-2024</t>
        </is>
      </c>
      <c r="B7" s="1" t="n">
        <v>45552</v>
      </c>
      <c r="C7" s="1" t="n">
        <v>46201</v>
      </c>
      <c r="D7" t="inlineStr">
        <is>
          <t>VÄSTRA GÖTALANDS LÄN</t>
        </is>
      </c>
      <c r="E7" t="inlineStr">
        <is>
          <t>TÖREBODA</t>
        </is>
      </c>
      <c r="G7" t="n">
        <v>3.3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Spillkråka</t>
        </is>
      </c>
      <c r="S7">
        <f>HYPERLINK("https://klasma.github.io/Logging_1473/artfynd/A 39656-2024 artfynd.xlsx", "A 39656-2024")</f>
        <v/>
      </c>
      <c r="T7">
        <f>HYPERLINK("https://klasma.github.io/Logging_1473/kartor/A 39656-2024 karta.png", "A 39656-2024")</f>
        <v/>
      </c>
      <c r="V7">
        <f>HYPERLINK("https://klasma.github.io/Logging_1473/klagomål/A 39656-2024 FSC-klagomål.docx", "A 39656-2024")</f>
        <v/>
      </c>
      <c r="W7">
        <f>HYPERLINK("https://klasma.github.io/Logging_1473/klagomålsmail/A 39656-2024 FSC-klagomål mail.docx", "A 39656-2024")</f>
        <v/>
      </c>
      <c r="X7">
        <f>HYPERLINK("https://klasma.github.io/Logging_1473/tillsyn/A 39656-2024 tillsynsbegäran.docx", "A 39656-2024")</f>
        <v/>
      </c>
      <c r="Y7">
        <f>HYPERLINK("https://klasma.github.io/Logging_1473/tillsynsmail/A 39656-2024 tillsynsbegäran mail.docx", "A 39656-2024")</f>
        <v/>
      </c>
      <c r="Z7">
        <f>HYPERLINK("https://klasma.github.io/Logging_1473/fåglar/A 39656-2024 prioriterade fågelarter.docx", "A 39656-2024")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46201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46201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11692-2025</t>
        </is>
      </c>
      <c r="B10" s="1" t="n">
        <v>45727</v>
      </c>
      <c r="C10" s="1" t="n">
        <v>46201</v>
      </c>
      <c r="D10" t="inlineStr">
        <is>
          <t>VÄSTRA GÖTALANDS LÄN</t>
        </is>
      </c>
      <c r="E10" t="inlineStr">
        <is>
          <t>TÖREBODA</t>
        </is>
      </c>
      <c r="G10" t="n">
        <v>0.9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HYPERLINK("https://klasma.github.io/Logging_1473/artfynd/A 11692-2025 artfynd.xlsx", "A 11692-2025")</f>
        <v/>
      </c>
      <c r="T10">
        <f>HYPERLINK("https://klasma.github.io/Logging_1473/kartor/A 11692-2025 karta.png", "A 11692-2025")</f>
        <v/>
      </c>
      <c r="V10">
        <f>HYPERLINK("https://klasma.github.io/Logging_1473/klagomål/A 11692-2025 FSC-klagomål.docx", "A 11692-2025")</f>
        <v/>
      </c>
      <c r="W10">
        <f>HYPERLINK("https://klasma.github.io/Logging_1473/klagomålsmail/A 11692-2025 FSC-klagomål mail.docx", "A 11692-2025")</f>
        <v/>
      </c>
      <c r="X10">
        <f>HYPERLINK("https://klasma.github.io/Logging_1473/tillsyn/A 11692-2025 tillsynsbegäran.docx", "A 11692-2025")</f>
        <v/>
      </c>
      <c r="Y10">
        <f>HYPERLINK("https://klasma.github.io/Logging_1473/tillsynsmail/A 11692-2025 tillsynsbegäran mail.docx", "A 11692-2025")</f>
        <v/>
      </c>
    </row>
    <row r="11" ht="15" customHeight="1">
      <c r="A11" t="inlineStr">
        <is>
          <t>A 43522-2022</t>
        </is>
      </c>
      <c r="B11" s="1" t="n">
        <v>44837</v>
      </c>
      <c r="C11" s="1" t="n">
        <v>46201</v>
      </c>
      <c r="D11" t="inlineStr">
        <is>
          <t>VÄSTRA GÖTALANDS LÄN</t>
        </is>
      </c>
      <c r="E11" t="inlineStr">
        <is>
          <t>TÖREBODA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HYPERLINK("https://klasma.github.io/Logging_1473/artfynd/A 43522-2022 artfynd.xlsx", "A 43522-2022")</f>
        <v/>
      </c>
      <c r="T11">
        <f>HYPERLINK("https://klasma.github.io/Logging_1473/kartor/A 43522-2022 karta.png", "A 43522-2022")</f>
        <v/>
      </c>
      <c r="V11">
        <f>HYPERLINK("https://klasma.github.io/Logging_1473/klagomål/A 43522-2022 FSC-klagomål.docx", "A 43522-2022")</f>
        <v/>
      </c>
      <c r="W11">
        <f>HYPERLINK("https://klasma.github.io/Logging_1473/klagomålsmail/A 43522-2022 FSC-klagomål mail.docx", "A 43522-2022")</f>
        <v/>
      </c>
      <c r="X11">
        <f>HYPERLINK("https://klasma.github.io/Logging_1473/tillsyn/A 43522-2022 tillsynsbegäran.docx", "A 43522-2022")</f>
        <v/>
      </c>
      <c r="Y11">
        <f>HYPERLINK("https://klasma.github.io/Logging_1473/tillsynsmail/A 43522-2022 tillsynsbegäran mail.docx", "A 43522-2022")</f>
        <v/>
      </c>
    </row>
    <row r="12" ht="15" customHeight="1">
      <c r="A12" t="inlineStr">
        <is>
          <t>A 39894-2023</t>
        </is>
      </c>
      <c r="B12" s="1" t="n">
        <v>45166</v>
      </c>
      <c r="C12" s="1" t="n">
        <v>46201</v>
      </c>
      <c r="D12" t="inlineStr">
        <is>
          <t>VÄSTRA GÖTALANDS LÄN</t>
        </is>
      </c>
      <c r="E12" t="inlineStr">
        <is>
          <t>TÖREBODA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Nattskärra</t>
        </is>
      </c>
      <c r="S12">
        <f>HYPERLINK("https://klasma.github.io/Logging_1473/artfynd/A 39894-2023 artfynd.xlsx", "A 39894-2023")</f>
        <v/>
      </c>
      <c r="T12">
        <f>HYPERLINK("https://klasma.github.io/Logging_1473/kartor/A 39894-2023 karta.png", "A 39894-2023")</f>
        <v/>
      </c>
      <c r="V12">
        <f>HYPERLINK("https://klasma.github.io/Logging_1473/klagomål/A 39894-2023 FSC-klagomål.docx", "A 39894-2023")</f>
        <v/>
      </c>
      <c r="W12">
        <f>HYPERLINK("https://klasma.github.io/Logging_1473/klagomålsmail/A 39894-2023 FSC-klagomål mail.docx", "A 39894-2023")</f>
        <v/>
      </c>
      <c r="X12">
        <f>HYPERLINK("https://klasma.github.io/Logging_1473/tillsyn/A 39894-2023 tillsynsbegäran.docx", "A 39894-2023")</f>
        <v/>
      </c>
      <c r="Y12">
        <f>HYPERLINK("https://klasma.github.io/Logging_1473/tillsynsmail/A 39894-2023 tillsynsbegäran mail.docx", "A 39894-2023")</f>
        <v/>
      </c>
      <c r="Z12">
        <f>HYPERLINK("https://klasma.github.io/Logging_1473/fåglar/A 39894-2023 prioriterade fågelarter.docx", "A 39894-2023")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46201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46201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39659-2024</t>
        </is>
      </c>
      <c r="B15" s="1" t="n">
        <v>45552</v>
      </c>
      <c r="C15" s="1" t="n">
        <v>46201</v>
      </c>
      <c r="D15" t="inlineStr">
        <is>
          <t>VÄSTRA GÖTALANDS LÄN</t>
        </is>
      </c>
      <c r="E15" t="inlineStr">
        <is>
          <t>TÖREBODA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39659-2024 artfynd.xlsx", "A 39659-2024")</f>
        <v/>
      </c>
      <c r="T15">
        <f>HYPERLINK("https://klasma.github.io/Logging_1473/kartor/A 39659-2024 karta.png", "A 39659-2024")</f>
        <v/>
      </c>
      <c r="V15">
        <f>HYPERLINK("https://klasma.github.io/Logging_1473/klagomål/A 39659-2024 FSC-klagomål.docx", "A 39659-2024")</f>
        <v/>
      </c>
      <c r="W15">
        <f>HYPERLINK("https://klasma.github.io/Logging_1473/klagomålsmail/A 39659-2024 FSC-klagomål mail.docx", "A 39659-2024")</f>
        <v/>
      </c>
      <c r="X15">
        <f>HYPERLINK("https://klasma.github.io/Logging_1473/tillsyn/A 39659-2024 tillsynsbegäran.docx", "A 39659-2024")</f>
        <v/>
      </c>
      <c r="Y15">
        <f>HYPERLINK("https://klasma.github.io/Logging_1473/tillsynsmail/A 39659-2024 tillsynsbegäran mail.docx", "A 39659-2024")</f>
        <v/>
      </c>
    </row>
    <row r="16" ht="15" customHeight="1">
      <c r="A16" t="inlineStr">
        <is>
          <t>A 58097-2024</t>
        </is>
      </c>
      <c r="B16" s="1" t="n">
        <v>45632</v>
      </c>
      <c r="C16" s="1" t="n">
        <v>46201</v>
      </c>
      <c r="D16" t="inlineStr">
        <is>
          <t>VÄSTRA GÖTALANDS LÄN</t>
        </is>
      </c>
      <c r="E16" t="inlineStr">
        <is>
          <t>TÖREBODA</t>
        </is>
      </c>
      <c r="G16" t="n">
        <v>8.6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58097-2024 artfynd.xlsx", "A 58097-2024")</f>
        <v/>
      </c>
      <c r="T16">
        <f>HYPERLINK("https://klasma.github.io/Logging_1473/kartor/A 58097-2024 karta.png", "A 58097-2024")</f>
        <v/>
      </c>
      <c r="V16">
        <f>HYPERLINK("https://klasma.github.io/Logging_1473/klagomål/A 58097-2024 FSC-klagomål.docx", "A 58097-2024")</f>
        <v/>
      </c>
      <c r="W16">
        <f>HYPERLINK("https://klasma.github.io/Logging_1473/klagomålsmail/A 58097-2024 FSC-klagomål mail.docx", "A 58097-2024")</f>
        <v/>
      </c>
      <c r="X16">
        <f>HYPERLINK("https://klasma.github.io/Logging_1473/tillsyn/A 58097-2024 tillsynsbegäran.docx", "A 58097-2024")</f>
        <v/>
      </c>
      <c r="Y16">
        <f>HYPERLINK("https://klasma.github.io/Logging_1473/tillsynsmail/A 58097-2024 tillsynsbegäran mail.docx", "A 58097-2024")</f>
        <v/>
      </c>
    </row>
    <row r="17" ht="15" customHeight="1">
      <c r="A17" t="inlineStr">
        <is>
          <t>A 55174-2024</t>
        </is>
      </c>
      <c r="B17" s="1" t="n">
        <v>45621</v>
      </c>
      <c r="C17" s="1" t="n">
        <v>46201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17540-2025</t>
        </is>
      </c>
      <c r="B18" s="1" t="n">
        <v>45757</v>
      </c>
      <c r="C18" s="1" t="n">
        <v>46201</v>
      </c>
      <c r="D18" t="inlineStr">
        <is>
          <t>VÄSTRA GÖTALANDS LÄN</t>
        </is>
      </c>
      <c r="E18" t="inlineStr">
        <is>
          <t>TÖREBODA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Vattenfladdermus</t>
        </is>
      </c>
      <c r="S18">
        <f>HYPERLINK("https://klasma.github.io/Logging_1473/artfynd/A 17540-2025 artfynd.xlsx", "A 17540-2025")</f>
        <v/>
      </c>
      <c r="T18">
        <f>HYPERLINK("https://klasma.github.io/Logging_1473/kartor/A 17540-2025 karta.png", "A 17540-2025")</f>
        <v/>
      </c>
      <c r="V18">
        <f>HYPERLINK("https://klasma.github.io/Logging_1473/klagomål/A 17540-2025 FSC-klagomål.docx", "A 17540-2025")</f>
        <v/>
      </c>
      <c r="W18">
        <f>HYPERLINK("https://klasma.github.io/Logging_1473/klagomålsmail/A 17540-2025 FSC-klagomål mail.docx", "A 17540-2025")</f>
        <v/>
      </c>
      <c r="X18">
        <f>HYPERLINK("https://klasma.github.io/Logging_1473/tillsyn/A 17540-2025 tillsynsbegäran.docx", "A 17540-2025")</f>
        <v/>
      </c>
      <c r="Y18">
        <f>HYPERLINK("https://klasma.github.io/Logging_1473/tillsynsmail/A 17540-2025 tillsynsbegäran mail.docx", "A 17540-2025")</f>
        <v/>
      </c>
    </row>
    <row r="19" ht="15" customHeight="1">
      <c r="A19" t="inlineStr">
        <is>
          <t>A 6160-2023</t>
        </is>
      </c>
      <c r="B19" s="1" t="n">
        <v>44964</v>
      </c>
      <c r="C19" s="1" t="n">
        <v>46201</v>
      </c>
      <c r="D19" t="inlineStr">
        <is>
          <t>VÄSTRA GÖTALANDS LÄN</t>
        </is>
      </c>
      <c r="E19" t="inlineStr">
        <is>
          <t>TÖREBODA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HYPERLINK("https://klasma.github.io/Logging_1473/artfynd/A 6160-2023 artfynd.xlsx", "A 6160-2023")</f>
        <v/>
      </c>
      <c r="T19">
        <f>HYPERLINK("https://klasma.github.io/Logging_1473/kartor/A 6160-2023 karta.png", "A 6160-2023")</f>
        <v/>
      </c>
      <c r="V19">
        <f>HYPERLINK("https://klasma.github.io/Logging_1473/klagomål/A 6160-2023 FSC-klagomål.docx", "A 6160-2023")</f>
        <v/>
      </c>
      <c r="W19">
        <f>HYPERLINK("https://klasma.github.io/Logging_1473/klagomålsmail/A 6160-2023 FSC-klagomål mail.docx", "A 6160-2023")</f>
        <v/>
      </c>
      <c r="X19">
        <f>HYPERLINK("https://klasma.github.io/Logging_1473/tillsyn/A 6160-2023 tillsynsbegäran.docx", "A 6160-2023")</f>
        <v/>
      </c>
      <c r="Y19">
        <f>HYPERLINK("https://klasma.github.io/Logging_1473/tillsynsmail/A 6160-2023 tillsynsbegäran mail.docx", "A 6160-2023")</f>
        <v/>
      </c>
      <c r="Z19">
        <f>HYPERLINK("https://klasma.github.io/Logging_1473/fåglar/A 6160-2023 prioriterade fågelarter.docx", "A 6160-2023")</f>
        <v/>
      </c>
    </row>
    <row r="20" ht="15" customHeight="1">
      <c r="A20" t="inlineStr">
        <is>
          <t>A 14755-2025</t>
        </is>
      </c>
      <c r="B20" s="1" t="n">
        <v>45742</v>
      </c>
      <c r="C20" s="1" t="n">
        <v>46201</v>
      </c>
      <c r="D20" t="inlineStr">
        <is>
          <t>VÄSTRA GÖTALANDS LÄN</t>
        </is>
      </c>
      <c r="E20" t="inlineStr">
        <is>
          <t>TÖREBODA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HYPERLINK("https://klasma.github.io/Logging_1473/artfynd/A 14755-2025 artfynd.xlsx", "A 14755-2025")</f>
        <v/>
      </c>
      <c r="T20">
        <f>HYPERLINK("https://klasma.github.io/Logging_1473/kartor/A 14755-2025 karta.png", "A 14755-2025")</f>
        <v/>
      </c>
      <c r="V20">
        <f>HYPERLINK("https://klasma.github.io/Logging_1473/klagomål/A 14755-2025 FSC-klagomål.docx", "A 14755-2025")</f>
        <v/>
      </c>
      <c r="W20">
        <f>HYPERLINK("https://klasma.github.io/Logging_1473/klagomålsmail/A 14755-2025 FSC-klagomål mail.docx", "A 14755-2025")</f>
        <v/>
      </c>
      <c r="X20">
        <f>HYPERLINK("https://klasma.github.io/Logging_1473/tillsyn/A 14755-2025 tillsynsbegäran.docx", "A 14755-2025")</f>
        <v/>
      </c>
      <c r="Y20">
        <f>HYPERLINK("https://klasma.github.io/Logging_1473/tillsynsmail/A 14755-2025 tillsynsbegäran mail.docx", "A 14755-2025")</f>
        <v/>
      </c>
    </row>
    <row r="21" ht="15" customHeight="1">
      <c r="A21" t="inlineStr">
        <is>
          <t>A 9985-2023</t>
        </is>
      </c>
      <c r="B21" s="1" t="n">
        <v>44985</v>
      </c>
      <c r="C21" s="1" t="n">
        <v>46201</v>
      </c>
      <c r="D21" t="inlineStr">
        <is>
          <t>VÄSTRA GÖTALANDS LÄN</t>
        </is>
      </c>
      <c r="E21" t="inlineStr">
        <is>
          <t>TÖREBODA</t>
        </is>
      </c>
      <c r="G21" t="n">
        <v>5.5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HYPERLINK("https://klasma.github.io/Logging_1473/artfynd/A 9985-2023 artfynd.xlsx", "A 9985-2023")</f>
        <v/>
      </c>
      <c r="T21">
        <f>HYPERLINK("https://klasma.github.io/Logging_1473/kartor/A 9985-2023 karta.png", "A 9985-2023")</f>
        <v/>
      </c>
      <c r="V21">
        <f>HYPERLINK("https://klasma.github.io/Logging_1473/klagomål/A 9985-2023 FSC-klagomål.docx", "A 9985-2023")</f>
        <v/>
      </c>
      <c r="W21">
        <f>HYPERLINK("https://klasma.github.io/Logging_1473/klagomålsmail/A 9985-2023 FSC-klagomål mail.docx", "A 9985-2023")</f>
        <v/>
      </c>
      <c r="X21">
        <f>HYPERLINK("https://klasma.github.io/Logging_1473/tillsyn/A 9985-2023 tillsynsbegäran.docx", "A 9985-2023")</f>
        <v/>
      </c>
      <c r="Y21">
        <f>HYPERLINK("https://klasma.github.io/Logging_1473/tillsynsmail/A 9985-2023 tillsynsbegäran mail.docx", "A 9985-2023")</f>
        <v/>
      </c>
    </row>
    <row r="22" ht="15" customHeight="1">
      <c r="A22" t="inlineStr">
        <is>
          <t>A 49169-2025</t>
        </is>
      </c>
      <c r="B22" s="1" t="n">
        <v>45938</v>
      </c>
      <c r="C22" s="1" t="n">
        <v>46201</v>
      </c>
      <c r="D22" t="inlineStr">
        <is>
          <t>VÄSTRA GÖTALANDS LÄN</t>
        </is>
      </c>
      <c r="E22" t="inlineStr">
        <is>
          <t>TÖREBODA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HYPERLINK("https://klasma.github.io/Logging_1473/artfynd/A 49169-2025 artfynd.xlsx", "A 49169-2025")</f>
        <v/>
      </c>
      <c r="T22">
        <f>HYPERLINK("https://klasma.github.io/Logging_1473/kartor/A 49169-2025 karta.png", "A 49169-2025")</f>
        <v/>
      </c>
      <c r="V22">
        <f>HYPERLINK("https://klasma.github.io/Logging_1473/klagomål/A 49169-2025 FSC-klagomål.docx", "A 49169-2025")</f>
        <v/>
      </c>
      <c r="W22">
        <f>HYPERLINK("https://klasma.github.io/Logging_1473/klagomålsmail/A 49169-2025 FSC-klagomål mail.docx", "A 49169-2025")</f>
        <v/>
      </c>
      <c r="X22">
        <f>HYPERLINK("https://klasma.github.io/Logging_1473/tillsyn/A 49169-2025 tillsynsbegäran.docx", "A 49169-2025")</f>
        <v/>
      </c>
      <c r="Y22">
        <f>HYPERLINK("https://klasma.github.io/Logging_1473/tillsynsmail/A 49169-2025 tillsynsbegäran mail.docx", "A 49169-2025")</f>
        <v/>
      </c>
      <c r="Z22">
        <f>HYPERLINK("https://klasma.github.io/Logging_1473/fåglar/A 49169-2025 prioriterade fågelarter.docx", "A 49169-2025")</f>
        <v/>
      </c>
    </row>
    <row r="23" ht="15" customHeight="1">
      <c r="A23" t="inlineStr">
        <is>
          <t>A 12168-2025</t>
        </is>
      </c>
      <c r="B23" s="1" t="n">
        <v>45729</v>
      </c>
      <c r="C23" s="1" t="n">
        <v>46201</v>
      </c>
      <c r="D23" t="inlineStr">
        <is>
          <t>VÄSTRA GÖTALANDS LÄN</t>
        </is>
      </c>
      <c r="E23" t="inlineStr">
        <is>
          <t>TÖREBODA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HYPERLINK("https://klasma.github.io/Logging_1473/artfynd/A 12168-2025 artfynd.xlsx", "A 12168-2025")</f>
        <v/>
      </c>
      <c r="T23">
        <f>HYPERLINK("https://klasma.github.io/Logging_1473/kartor/A 12168-2025 karta.png", "A 12168-2025")</f>
        <v/>
      </c>
      <c r="V23">
        <f>HYPERLINK("https://klasma.github.io/Logging_1473/klagomål/A 12168-2025 FSC-klagomål.docx", "A 12168-2025")</f>
        <v/>
      </c>
      <c r="W23">
        <f>HYPERLINK("https://klasma.github.io/Logging_1473/klagomålsmail/A 12168-2025 FSC-klagomål mail.docx", "A 12168-2025")</f>
        <v/>
      </c>
      <c r="X23">
        <f>HYPERLINK("https://klasma.github.io/Logging_1473/tillsyn/A 12168-2025 tillsynsbegäran.docx", "A 12168-2025")</f>
        <v/>
      </c>
      <c r="Y23">
        <f>HYPERLINK("https://klasma.github.io/Logging_1473/tillsynsmail/A 12168-2025 tillsynsbegäran mail.docx", "A 12168-2025")</f>
        <v/>
      </c>
      <c r="Z23">
        <f>HYPERLINK("https://klasma.github.io/Logging_1473/fåglar/A 12168-2025 prioriterade fågelarter.docx", "A 12168-2025")</f>
        <v/>
      </c>
    </row>
    <row r="24" ht="15" customHeight="1">
      <c r="A24" t="inlineStr">
        <is>
          <t>A 12448-2024</t>
        </is>
      </c>
      <c r="B24" s="1" t="n">
        <v>45378</v>
      </c>
      <c r="C24" s="1" t="n">
        <v>46201</v>
      </c>
      <c r="D24" t="inlineStr">
        <is>
          <t>VÄSTRA GÖTALANDS LÄN</t>
        </is>
      </c>
      <c r="E24" t="inlineStr">
        <is>
          <t>TÖREBODA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Gulnål</t>
        </is>
      </c>
      <c r="S24">
        <f>HYPERLINK("https://klasma.github.io/Logging_1473/artfynd/A 12448-2024 artfynd.xlsx", "A 12448-2024")</f>
        <v/>
      </c>
      <c r="T24">
        <f>HYPERLINK("https://klasma.github.io/Logging_1473/kartor/A 12448-2024 karta.png", "A 12448-2024")</f>
        <v/>
      </c>
      <c r="V24">
        <f>HYPERLINK("https://klasma.github.io/Logging_1473/klagomål/A 12448-2024 FSC-klagomål.docx", "A 12448-2024")</f>
        <v/>
      </c>
      <c r="W24">
        <f>HYPERLINK("https://klasma.github.io/Logging_1473/klagomålsmail/A 12448-2024 FSC-klagomål mail.docx", "A 12448-2024")</f>
        <v/>
      </c>
      <c r="X24">
        <f>HYPERLINK("https://klasma.github.io/Logging_1473/tillsyn/A 12448-2024 tillsynsbegäran.docx", "A 12448-2024")</f>
        <v/>
      </c>
      <c r="Y24">
        <f>HYPERLINK("https://klasma.github.io/Logging_1473/tillsynsmail/A 12448-2024 tillsynsbegäran mail.docx", "A 12448-2024")</f>
        <v/>
      </c>
    </row>
    <row r="25" ht="15" customHeight="1">
      <c r="A25" t="inlineStr">
        <is>
          <t>A 7772-2022</t>
        </is>
      </c>
      <c r="B25" s="1" t="n">
        <v>44608</v>
      </c>
      <c r="C25" s="1" t="n">
        <v>46201</v>
      </c>
      <c r="D25" t="inlineStr">
        <is>
          <t>VÄSTRA GÖTALANDS LÄN</t>
        </is>
      </c>
      <c r="E25" t="inlineStr">
        <is>
          <t>TÖREBODA</t>
        </is>
      </c>
      <c r="G25" t="n">
        <v>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HYPERLINK("https://klasma.github.io/Logging_1473/artfynd/A 7772-2022 artfynd.xlsx", "A 7772-2022")</f>
        <v/>
      </c>
      <c r="T25">
        <f>HYPERLINK("https://klasma.github.io/Logging_1473/kartor/A 7772-2022 karta.png", "A 7772-2022")</f>
        <v/>
      </c>
      <c r="V25">
        <f>HYPERLINK("https://klasma.github.io/Logging_1473/klagomål/A 7772-2022 FSC-klagomål.docx", "A 7772-2022")</f>
        <v/>
      </c>
      <c r="W25">
        <f>HYPERLINK("https://klasma.github.io/Logging_1473/klagomålsmail/A 7772-2022 FSC-klagomål mail.docx", "A 7772-2022")</f>
        <v/>
      </c>
      <c r="X25">
        <f>HYPERLINK("https://klasma.github.io/Logging_1473/tillsyn/A 7772-2022 tillsynsbegäran.docx", "A 7772-2022")</f>
        <v/>
      </c>
      <c r="Y25">
        <f>HYPERLINK("https://klasma.github.io/Logging_1473/tillsynsmail/A 7772-2022 tillsynsbegäran mail.docx", "A 7772-2022")</f>
        <v/>
      </c>
    </row>
    <row r="26" ht="15" customHeight="1">
      <c r="A26" t="inlineStr">
        <is>
          <t>A 49535-2021</t>
        </is>
      </c>
      <c r="B26" s="1" t="n">
        <v>44454</v>
      </c>
      <c r="C26" s="1" t="n">
        <v>46201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40321-2021</t>
        </is>
      </c>
      <c r="B27" s="1" t="n">
        <v>44419</v>
      </c>
      <c r="C27" s="1" t="n">
        <v>46201</v>
      </c>
      <c r="D27" t="inlineStr">
        <is>
          <t>VÄSTRA GÖTALANDS LÄN</t>
        </is>
      </c>
      <c r="E27" t="inlineStr">
        <is>
          <t>TÖREBODA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63749-2021</t>
        </is>
      </c>
      <c r="B28" s="1" t="n">
        <v>44509</v>
      </c>
      <c r="C28" s="1" t="n">
        <v>46201</v>
      </c>
      <c r="D28" t="inlineStr">
        <is>
          <t>VÄSTRA GÖTALANDS LÄN</t>
        </is>
      </c>
      <c r="E28" t="inlineStr">
        <is>
          <t>TÖREBODA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64052-2021</t>
        </is>
      </c>
      <c r="B29" s="1" t="n">
        <v>44508</v>
      </c>
      <c r="C29" s="1" t="n">
        <v>46201</v>
      </c>
      <c r="D29" t="inlineStr">
        <is>
          <t>VÄSTRA GÖTALANDS LÄN</t>
        </is>
      </c>
      <c r="E29" t="inlineStr">
        <is>
          <t>TÖREBODA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34149-2021</t>
        </is>
      </c>
      <c r="B30" s="1" t="n">
        <v>44379</v>
      </c>
      <c r="C30" s="1" t="n">
        <v>46201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62632-2021</t>
        </is>
      </c>
      <c r="B31" s="1" t="n">
        <v>44503</v>
      </c>
      <c r="C31" s="1" t="n">
        <v>46201</v>
      </c>
      <c r="D31" t="inlineStr">
        <is>
          <t>VÄSTRA GÖTALANDS LÄN</t>
        </is>
      </c>
      <c r="E31" t="inlineStr">
        <is>
          <t>TÖREBODA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62633-2021</t>
        </is>
      </c>
      <c r="B32" s="1" t="n">
        <v>44503</v>
      </c>
      <c r="C32" s="1" t="n">
        <v>46201</v>
      </c>
      <c r="D32" t="inlineStr">
        <is>
          <t>VÄSTRA GÖTALANDS LÄN</t>
        </is>
      </c>
      <c r="E32" t="inlineStr">
        <is>
          <t>TÖREBODA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18082-2022</t>
        </is>
      </c>
      <c r="B33" s="1" t="n">
        <v>44684</v>
      </c>
      <c r="C33" s="1" t="n">
        <v>46201</v>
      </c>
      <c r="D33" t="inlineStr">
        <is>
          <t>VÄSTRA GÖTALANDS LÄN</t>
        </is>
      </c>
      <c r="E33" t="inlineStr">
        <is>
          <t>TÖREBODA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34888-2021</t>
        </is>
      </c>
      <c r="B34" s="1" t="n">
        <v>44383</v>
      </c>
      <c r="C34" s="1" t="n">
        <v>46201</v>
      </c>
      <c r="D34" t="inlineStr">
        <is>
          <t>VÄSTRA GÖTALANDS LÄN</t>
        </is>
      </c>
      <c r="E34" t="inlineStr">
        <is>
          <t>TÖREBODA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36495-2021</t>
        </is>
      </c>
      <c r="B35" s="1" t="n">
        <v>44390</v>
      </c>
      <c r="C35" s="1" t="n">
        <v>46201</v>
      </c>
      <c r="D35" t="inlineStr">
        <is>
          <t>VÄSTRA GÖTALANDS LÄN</t>
        </is>
      </c>
      <c r="E35" t="inlineStr">
        <is>
          <t>TÖREBODA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25855-2022</t>
        </is>
      </c>
      <c r="B36" s="1" t="n">
        <v>44733</v>
      </c>
      <c r="C36" s="1" t="n">
        <v>46201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26865-2022</t>
        </is>
      </c>
      <c r="B37" s="1" t="n">
        <v>44740</v>
      </c>
      <c r="C37" s="1" t="n">
        <v>46201</v>
      </c>
      <c r="D37" t="inlineStr">
        <is>
          <t>VÄSTRA GÖTALANDS LÄN</t>
        </is>
      </c>
      <c r="E37" t="inlineStr">
        <is>
          <t>TÖREBODA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39542-2022</t>
        </is>
      </c>
      <c r="B38" s="1" t="n">
        <v>44818</v>
      </c>
      <c r="C38" s="1" t="n">
        <v>46201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49567-2021</t>
        </is>
      </c>
      <c r="B39" s="1" t="n">
        <v>44454</v>
      </c>
      <c r="C39" s="1" t="n">
        <v>46201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24440-2022</t>
        </is>
      </c>
      <c r="B40" s="1" t="n">
        <v>44726</v>
      </c>
      <c r="C40" s="1" t="n">
        <v>46201</v>
      </c>
      <c r="D40" t="inlineStr">
        <is>
          <t>VÄSTRA GÖTALANDS LÄN</t>
        </is>
      </c>
      <c r="E40" t="inlineStr">
        <is>
          <t>TÖREBODA</t>
        </is>
      </c>
      <c r="G40" t="n">
        <v>22.2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42215-2021</t>
        </is>
      </c>
      <c r="B41" s="1" t="n">
        <v>44426</v>
      </c>
      <c r="C41" s="1" t="n">
        <v>46201</v>
      </c>
      <c r="D41" t="inlineStr">
        <is>
          <t>VÄSTRA GÖTALANDS LÄN</t>
        </is>
      </c>
      <c r="E41" t="inlineStr">
        <is>
          <t>TÖREBODA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9438-2022</t>
        </is>
      </c>
      <c r="B42" s="1" t="n">
        <v>44616</v>
      </c>
      <c r="C42" s="1" t="n">
        <v>46201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23024-2022</t>
        </is>
      </c>
      <c r="B43" s="1" t="n">
        <v>44719</v>
      </c>
      <c r="C43" s="1" t="n">
        <v>46201</v>
      </c>
      <c r="D43" t="inlineStr">
        <is>
          <t>VÄSTRA GÖTALANDS LÄN</t>
        </is>
      </c>
      <c r="E43" t="inlineStr">
        <is>
          <t>TÖREBODA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8915-2022</t>
        </is>
      </c>
      <c r="B44" s="1" t="n">
        <v>44614</v>
      </c>
      <c r="C44" s="1" t="n">
        <v>46201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34145-2021</t>
        </is>
      </c>
      <c r="B45" s="1" t="n">
        <v>44379</v>
      </c>
      <c r="C45" s="1" t="n">
        <v>46201</v>
      </c>
      <c r="D45" t="inlineStr">
        <is>
          <t>VÄSTRA GÖTALANDS LÄN</t>
        </is>
      </c>
      <c r="E45" t="inlineStr">
        <is>
          <t>TÖREBODA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72532-2021</t>
        </is>
      </c>
      <c r="B46" s="1" t="n">
        <v>44546</v>
      </c>
      <c r="C46" s="1" t="n">
        <v>46201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</v>
      </c>
      <c r="C47" s="1" t="n">
        <v>46201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46201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59945-2021</t>
        </is>
      </c>
      <c r="B49" s="1" t="n">
        <v>44494</v>
      </c>
      <c r="C49" s="1" t="n">
        <v>46201</v>
      </c>
      <c r="D49" t="inlineStr">
        <is>
          <t>VÄSTRA GÖTALANDS LÄN</t>
        </is>
      </c>
      <c r="E49" t="inlineStr">
        <is>
          <t>TÖREBODA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69817-2021</t>
        </is>
      </c>
      <c r="B50" s="1" t="n">
        <v>44532</v>
      </c>
      <c r="C50" s="1" t="n">
        <v>46201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6631-2022</t>
        </is>
      </c>
      <c r="B51" s="1" t="n">
        <v>44601</v>
      </c>
      <c r="C51" s="1" t="n">
        <v>46201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63182-2021</t>
        </is>
      </c>
      <c r="B52" s="1" t="n">
        <v>44507</v>
      </c>
      <c r="C52" s="1" t="n">
        <v>46201</v>
      </c>
      <c r="D52" t="inlineStr">
        <is>
          <t>VÄSTRA GÖTALANDS LÄN</t>
        </is>
      </c>
      <c r="E52" t="inlineStr">
        <is>
          <t>TÖREBODA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23018-2022</t>
        </is>
      </c>
      <c r="B53" s="1" t="n">
        <v>44719</v>
      </c>
      <c r="C53" s="1" t="n">
        <v>46201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46752-2022</t>
        </is>
      </c>
      <c r="B54" s="1" t="n">
        <v>44847</v>
      </c>
      <c r="C54" s="1" t="n">
        <v>46201</v>
      </c>
      <c r="D54" t="inlineStr">
        <is>
          <t>VÄSTRA GÖTALANDS LÄN</t>
        </is>
      </c>
      <c r="E54" t="inlineStr">
        <is>
          <t>TÖREBODA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46759-2022</t>
        </is>
      </c>
      <c r="B55" s="1" t="n">
        <v>44847</v>
      </c>
      <c r="C55" s="1" t="n">
        <v>46201</v>
      </c>
      <c r="D55" t="inlineStr">
        <is>
          <t>VÄSTRA GÖTALANDS LÄN</t>
        </is>
      </c>
      <c r="E55" t="inlineStr">
        <is>
          <t>TÖREBODA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29560-2022</t>
        </is>
      </c>
      <c r="B56" s="1" t="n">
        <v>44754</v>
      </c>
      <c r="C56" s="1" t="n">
        <v>46201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8921-2022</t>
        </is>
      </c>
      <c r="B57" s="1" t="n">
        <v>44614</v>
      </c>
      <c r="C57" s="1" t="n">
        <v>46201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69286-2021</t>
        </is>
      </c>
      <c r="B58" s="1" t="n">
        <v>44531</v>
      </c>
      <c r="C58" s="1" t="n">
        <v>46201</v>
      </c>
      <c r="D58" t="inlineStr">
        <is>
          <t>VÄSTRA GÖTALANDS LÄN</t>
        </is>
      </c>
      <c r="E58" t="inlineStr">
        <is>
          <t>TÖREBODA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</v>
      </c>
      <c r="C59" s="1" t="n">
        <v>46201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2385-2022</t>
        </is>
      </c>
      <c r="B60" s="1" t="n">
        <v>44579</v>
      </c>
      <c r="C60" s="1" t="n">
        <v>46201</v>
      </c>
      <c r="D60" t="inlineStr">
        <is>
          <t>VÄSTRA GÖTALANDS LÄN</t>
        </is>
      </c>
      <c r="E60" t="inlineStr">
        <is>
          <t>TÖREBODA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47162-2022</t>
        </is>
      </c>
      <c r="B61" s="1" t="n">
        <v>44852</v>
      </c>
      <c r="C61" s="1" t="n">
        <v>46201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39634-2022</t>
        </is>
      </c>
      <c r="B62" s="1" t="n">
        <v>44818</v>
      </c>
      <c r="C62" s="1" t="n">
        <v>46201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Kommuner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22021-2024</t>
        </is>
      </c>
      <c r="B63" s="1" t="n">
        <v>45443</v>
      </c>
      <c r="C63" s="1" t="n">
        <v>46201</v>
      </c>
      <c r="D63" t="inlineStr">
        <is>
          <t>VÄSTRA GÖTALANDS LÄN</t>
        </is>
      </c>
      <c r="E63" t="inlineStr">
        <is>
          <t>TÖREBODA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47322-2022</t>
        </is>
      </c>
      <c r="B64" s="1" t="n">
        <v>44853</v>
      </c>
      <c r="C64" s="1" t="n">
        <v>46201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48491-2022</t>
        </is>
      </c>
      <c r="B65" s="1" t="n">
        <v>44858</v>
      </c>
      <c r="C65" s="1" t="n">
        <v>46201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55285-2023</t>
        </is>
      </c>
      <c r="B66" s="1" t="n">
        <v>45237</v>
      </c>
      <c r="C66" s="1" t="n">
        <v>46201</v>
      </c>
      <c r="D66" t="inlineStr">
        <is>
          <t>VÄSTRA GÖTALANDS LÄN</t>
        </is>
      </c>
      <c r="E66" t="inlineStr">
        <is>
          <t>TÖREBODA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24363-2024</t>
        </is>
      </c>
      <c r="B67" s="1" t="n">
        <v>45457</v>
      </c>
      <c r="C67" s="1" t="n">
        <v>46201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Övriga statliga verk och myndigheter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51040-2022</t>
        </is>
      </c>
      <c r="B68" s="1" t="n">
        <v>44868</v>
      </c>
      <c r="C68" s="1" t="n">
        <v>46201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24381-2023</t>
        </is>
      </c>
      <c r="B69" s="1" t="n">
        <v>45076</v>
      </c>
      <c r="C69" s="1" t="n">
        <v>46201</v>
      </c>
      <c r="D69" t="inlineStr">
        <is>
          <t>VÄSTRA GÖTALANDS LÄN</t>
        </is>
      </c>
      <c r="E69" t="inlineStr">
        <is>
          <t>TÖREBODA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28965-2022</t>
        </is>
      </c>
      <c r="B70" s="1" t="n">
        <v>44749</v>
      </c>
      <c r="C70" s="1" t="n">
        <v>46201</v>
      </c>
      <c r="D70" t="inlineStr">
        <is>
          <t>VÄSTRA GÖTALANDS LÄN</t>
        </is>
      </c>
      <c r="E70" t="inlineStr">
        <is>
          <t>TÖREBODA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20210-2022</t>
        </is>
      </c>
      <c r="B71" s="1" t="n">
        <v>44698</v>
      </c>
      <c r="C71" s="1" t="n">
        <v>46201</v>
      </c>
      <c r="D71" t="inlineStr">
        <is>
          <t>VÄSTRA GÖTALANDS LÄN</t>
        </is>
      </c>
      <c r="E71" t="inlineStr">
        <is>
          <t>TÖREBODA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39652-2024</t>
        </is>
      </c>
      <c r="B72" s="1" t="n">
        <v>45552</v>
      </c>
      <c r="C72" s="1" t="n">
        <v>46201</v>
      </c>
      <c r="D72" t="inlineStr">
        <is>
          <t>VÄSTRA GÖTALANDS LÄN</t>
        </is>
      </c>
      <c r="E72" t="inlineStr">
        <is>
          <t>TÖREBODA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19256-2023</t>
        </is>
      </c>
      <c r="B73" s="1" t="n">
        <v>45049</v>
      </c>
      <c r="C73" s="1" t="n">
        <v>46201</v>
      </c>
      <c r="D73" t="inlineStr">
        <is>
          <t>VÄSTRA GÖTALANDS LÄN</t>
        </is>
      </c>
      <c r="E73" t="inlineStr">
        <is>
          <t>TÖREBODA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16267-2025</t>
        </is>
      </c>
      <c r="B74" s="1" t="n">
        <v>45750</v>
      </c>
      <c r="C74" s="1" t="n">
        <v>46201</v>
      </c>
      <c r="D74" t="inlineStr">
        <is>
          <t>VÄSTRA GÖTALANDS LÄN</t>
        </is>
      </c>
      <c r="E74" t="inlineStr">
        <is>
          <t>TÖREBODA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35238-2023</t>
        </is>
      </c>
      <c r="B75" s="1" t="n">
        <v>45145</v>
      </c>
      <c r="C75" s="1" t="n">
        <v>46201</v>
      </c>
      <c r="D75" t="inlineStr">
        <is>
          <t>VÄSTRA GÖTALANDS LÄN</t>
        </is>
      </c>
      <c r="E75" t="inlineStr">
        <is>
          <t>TÖREBODA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57220-2023</t>
        </is>
      </c>
      <c r="B76" s="1" t="n">
        <v>45245</v>
      </c>
      <c r="C76" s="1" t="n">
        <v>46201</v>
      </c>
      <c r="D76" t="inlineStr">
        <is>
          <t>VÄSTRA GÖTALANDS LÄN</t>
        </is>
      </c>
      <c r="E76" t="inlineStr">
        <is>
          <t>TÖREBODA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4435-2023</t>
        </is>
      </c>
      <c r="B77" s="1" t="n">
        <v>44956</v>
      </c>
      <c r="C77" s="1" t="n">
        <v>46201</v>
      </c>
      <c r="D77" t="inlineStr">
        <is>
          <t>VÄSTRA GÖTALANDS LÄN</t>
        </is>
      </c>
      <c r="E77" t="inlineStr">
        <is>
          <t>TÖREBODA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11680-2024</t>
        </is>
      </c>
      <c r="B78" s="1" t="n">
        <v>45373</v>
      </c>
      <c r="C78" s="1" t="n">
        <v>46201</v>
      </c>
      <c r="D78" t="inlineStr">
        <is>
          <t>VÄSTRA GÖTALANDS LÄN</t>
        </is>
      </c>
      <c r="E78" t="inlineStr">
        <is>
          <t>TÖREBODA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24355-2024</t>
        </is>
      </c>
      <c r="B79" s="1" t="n">
        <v>45457</v>
      </c>
      <c r="C79" s="1" t="n">
        <v>46201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19723-2023</t>
        </is>
      </c>
      <c r="B80" s="1" t="n">
        <v>45051</v>
      </c>
      <c r="C80" s="1" t="n">
        <v>46201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27231-2023</t>
        </is>
      </c>
      <c r="B81" s="1" t="n">
        <v>45096</v>
      </c>
      <c r="C81" s="1" t="n">
        <v>46201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56273-2022</t>
        </is>
      </c>
      <c r="B82" s="1" t="n">
        <v>44890</v>
      </c>
      <c r="C82" s="1" t="n">
        <v>46201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3508-2023</t>
        </is>
      </c>
      <c r="B83" s="1" t="n">
        <v>44950</v>
      </c>
      <c r="C83" s="1" t="n">
        <v>46201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56685-2024</t>
        </is>
      </c>
      <c r="B84" s="1" t="n">
        <v>45627</v>
      </c>
      <c r="C84" s="1" t="n">
        <v>46201</v>
      </c>
      <c r="D84" t="inlineStr">
        <is>
          <t>VÄSTRA GÖTALANDS LÄN</t>
        </is>
      </c>
      <c r="E84" t="inlineStr">
        <is>
          <t>TÖREBODA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26759-2022</t>
        </is>
      </c>
      <c r="B85" s="1" t="n">
        <v>44740</v>
      </c>
      <c r="C85" s="1" t="n">
        <v>46201</v>
      </c>
      <c r="D85" t="inlineStr">
        <is>
          <t>VÄSTRA GÖTALANDS LÄN</t>
        </is>
      </c>
      <c r="E85" t="inlineStr">
        <is>
          <t>TÖREBODA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56614-2024</t>
        </is>
      </c>
      <c r="B86" s="1" t="n">
        <v>45625</v>
      </c>
      <c r="C86" s="1" t="n">
        <v>46201</v>
      </c>
      <c r="D86" t="inlineStr">
        <is>
          <t>VÄSTRA GÖTALANDS LÄN</t>
        </is>
      </c>
      <c r="E86" t="inlineStr">
        <is>
          <t>TÖREBODA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56831-2022</t>
        </is>
      </c>
      <c r="B87" s="1" t="n">
        <v>44894</v>
      </c>
      <c r="C87" s="1" t="n">
        <v>46201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56684-2024</t>
        </is>
      </c>
      <c r="B88" s="1" t="n">
        <v>45627</v>
      </c>
      <c r="C88" s="1" t="n">
        <v>46201</v>
      </c>
      <c r="D88" t="inlineStr">
        <is>
          <t>VÄSTRA GÖTALANDS LÄN</t>
        </is>
      </c>
      <c r="E88" t="inlineStr">
        <is>
          <t>TÖREBODA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6446-2025</t>
        </is>
      </c>
      <c r="B89" s="1" t="n">
        <v>45699</v>
      </c>
      <c r="C89" s="1" t="n">
        <v>46201</v>
      </c>
      <c r="D89" t="inlineStr">
        <is>
          <t>VÄSTRA GÖTALANDS LÄN</t>
        </is>
      </c>
      <c r="E89" t="inlineStr">
        <is>
          <t>TÖREBODA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5971-2022</t>
        </is>
      </c>
      <c r="B90" s="1" t="n">
        <v>44599</v>
      </c>
      <c r="C90" s="1" t="n">
        <v>46201</v>
      </c>
      <c r="D90" t="inlineStr">
        <is>
          <t>VÄSTRA GÖTALANDS LÄN</t>
        </is>
      </c>
      <c r="E90" t="inlineStr">
        <is>
          <t>TÖREBODA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23664-2023</t>
        </is>
      </c>
      <c r="B91" s="1" t="n">
        <v>45077</v>
      </c>
      <c r="C91" s="1" t="n">
        <v>46201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45161-2023</t>
        </is>
      </c>
      <c r="B92" s="1" t="n">
        <v>45191</v>
      </c>
      <c r="C92" s="1" t="n">
        <v>46201</v>
      </c>
      <c r="D92" t="inlineStr">
        <is>
          <t>VÄSTRA GÖTALANDS LÄN</t>
        </is>
      </c>
      <c r="E92" t="inlineStr">
        <is>
          <t>TÖREBODA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6578-2024</t>
        </is>
      </c>
      <c r="B93" s="1" t="n">
        <v>45341</v>
      </c>
      <c r="C93" s="1" t="n">
        <v>46201</v>
      </c>
      <c r="D93" t="inlineStr">
        <is>
          <t>VÄSTRA GÖTALANDS LÄN</t>
        </is>
      </c>
      <c r="E93" t="inlineStr">
        <is>
          <t>TÖREBODA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29023-2024</t>
        </is>
      </c>
      <c r="B94" s="1" t="n">
        <v>45481</v>
      </c>
      <c r="C94" s="1" t="n">
        <v>46201</v>
      </c>
      <c r="D94" t="inlineStr">
        <is>
          <t>VÄSTRA GÖTALANDS LÄN</t>
        </is>
      </c>
      <c r="E94" t="inlineStr">
        <is>
          <t>TÖREBODA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8315-2024</t>
        </is>
      </c>
      <c r="B95" s="1" t="n">
        <v>45350</v>
      </c>
      <c r="C95" s="1" t="n">
        <v>46201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60384-2024</t>
        </is>
      </c>
      <c r="B96" s="1" t="n">
        <v>45643</v>
      </c>
      <c r="C96" s="1" t="n">
        <v>46201</v>
      </c>
      <c r="D96" t="inlineStr">
        <is>
          <t>VÄSTRA GÖTALANDS LÄN</t>
        </is>
      </c>
      <c r="E96" t="inlineStr">
        <is>
          <t>TÖREBODA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15947-2022</t>
        </is>
      </c>
      <c r="B97" s="1" t="n">
        <v>44664</v>
      </c>
      <c r="C97" s="1" t="n">
        <v>46201</v>
      </c>
      <c r="D97" t="inlineStr">
        <is>
          <t>VÄSTRA GÖTALANDS LÄN</t>
        </is>
      </c>
      <c r="E97" t="inlineStr">
        <is>
          <t>TÖREBODA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5819-2025</t>
        </is>
      </c>
      <c r="B98" s="1" t="n">
        <v>45694</v>
      </c>
      <c r="C98" s="1" t="n">
        <v>46201</v>
      </c>
      <c r="D98" t="inlineStr">
        <is>
          <t>VÄSTRA GÖTALANDS LÄN</t>
        </is>
      </c>
      <c r="E98" t="inlineStr">
        <is>
          <t>TÖREBODA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33754-2023</t>
        </is>
      </c>
      <c r="B99" s="1" t="n">
        <v>45133</v>
      </c>
      <c r="C99" s="1" t="n">
        <v>46201</v>
      </c>
      <c r="D99" t="inlineStr">
        <is>
          <t>VÄSTRA GÖTALANDS LÄN</t>
        </is>
      </c>
      <c r="E99" t="inlineStr">
        <is>
          <t>TÖREBODA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9655-2023</t>
        </is>
      </c>
      <c r="B100" s="1" t="n">
        <v>44978</v>
      </c>
      <c r="C100" s="1" t="n">
        <v>46201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12634-2024</t>
        </is>
      </c>
      <c r="B101" s="1" t="n">
        <v>45384</v>
      </c>
      <c r="C101" s="1" t="n">
        <v>46201</v>
      </c>
      <c r="D101" t="inlineStr">
        <is>
          <t>VÄSTRA GÖTALANDS LÄN</t>
        </is>
      </c>
      <c r="E101" t="inlineStr">
        <is>
          <t>TÖREBODA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7122-2024</t>
        </is>
      </c>
      <c r="B102" s="1" t="n">
        <v>45344</v>
      </c>
      <c r="C102" s="1" t="n">
        <v>46201</v>
      </c>
      <c r="D102" t="inlineStr">
        <is>
          <t>VÄSTRA GÖTALANDS LÄN</t>
        </is>
      </c>
      <c r="E102" t="inlineStr">
        <is>
          <t>TÖREBODA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61873-2024</t>
        </is>
      </c>
      <c r="B103" s="1" t="n">
        <v>45651</v>
      </c>
      <c r="C103" s="1" t="n">
        <v>46201</v>
      </c>
      <c r="D103" t="inlineStr">
        <is>
          <t>VÄSTRA GÖTALANDS LÄN</t>
        </is>
      </c>
      <c r="E103" t="inlineStr">
        <is>
          <t>TÖREBODA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38841-2022</t>
        </is>
      </c>
      <c r="B104" s="1" t="n">
        <v>44816</v>
      </c>
      <c r="C104" s="1" t="n">
        <v>46201</v>
      </c>
      <c r="D104" t="inlineStr">
        <is>
          <t>VÄSTRA GÖTALANDS LÄN</t>
        </is>
      </c>
      <c r="E104" t="inlineStr">
        <is>
          <t>TÖREBODA</t>
        </is>
      </c>
      <c r="F104" t="inlineStr">
        <is>
          <t>Kyrkan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62521-2022</t>
        </is>
      </c>
      <c r="B105" s="1" t="n">
        <v>44924</v>
      </c>
      <c r="C105" s="1" t="n">
        <v>46201</v>
      </c>
      <c r="D105" t="inlineStr">
        <is>
          <t>VÄSTRA GÖTALANDS LÄN</t>
        </is>
      </c>
      <c r="E105" t="inlineStr">
        <is>
          <t>TÖREBODA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54459-2023</t>
        </is>
      </c>
      <c r="B106" s="1" t="n">
        <v>45233</v>
      </c>
      <c r="C106" s="1" t="n">
        <v>46201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Övriga statliga verk och myndigheter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29891-2022</t>
        </is>
      </c>
      <c r="B107" s="1" t="n">
        <v>44756</v>
      </c>
      <c r="C107" s="1" t="n">
        <v>46201</v>
      </c>
      <c r="D107" t="inlineStr">
        <is>
          <t>VÄSTRA GÖTALANDS LÄN</t>
        </is>
      </c>
      <c r="E107" t="inlineStr">
        <is>
          <t>TÖREBODA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39189-2023</t>
        </is>
      </c>
      <c r="B108" s="1" t="n">
        <v>45166</v>
      </c>
      <c r="C108" s="1" t="n">
        <v>46201</v>
      </c>
      <c r="D108" t="inlineStr">
        <is>
          <t>VÄSTRA GÖTALANDS LÄN</t>
        </is>
      </c>
      <c r="E108" t="inlineStr">
        <is>
          <t>TÖREBODA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27086-2022</t>
        </is>
      </c>
      <c r="B109" s="1" t="n">
        <v>44741</v>
      </c>
      <c r="C109" s="1" t="n">
        <v>46201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20391-2023</t>
        </is>
      </c>
      <c r="B110" s="1" t="n">
        <v>45056</v>
      </c>
      <c r="C110" s="1" t="n">
        <v>46201</v>
      </c>
      <c r="D110" t="inlineStr">
        <is>
          <t>VÄSTRA GÖTALANDS LÄN</t>
        </is>
      </c>
      <c r="E110" t="inlineStr">
        <is>
          <t>TÖREBODA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2128-2024</t>
        </is>
      </c>
      <c r="B111" s="1" t="n">
        <v>45309</v>
      </c>
      <c r="C111" s="1" t="n">
        <v>46201</v>
      </c>
      <c r="D111" t="inlineStr">
        <is>
          <t>VÄSTRA GÖTALANDS LÄN</t>
        </is>
      </c>
      <c r="E111" t="inlineStr">
        <is>
          <t>TÖREBODA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48957-2022</t>
        </is>
      </c>
      <c r="B112" s="1" t="n">
        <v>44860</v>
      </c>
      <c r="C112" s="1" t="n">
        <v>46201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11159-2023</t>
        </is>
      </c>
      <c r="B113" s="1" t="n">
        <v>44987</v>
      </c>
      <c r="C113" s="1" t="n">
        <v>46201</v>
      </c>
      <c r="D113" t="inlineStr">
        <is>
          <t>VÄSTRA GÖTALANDS LÄN</t>
        </is>
      </c>
      <c r="E113" t="inlineStr">
        <is>
          <t>TÖREBODA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34865-2023</t>
        </is>
      </c>
      <c r="B114" s="1" t="n">
        <v>45142</v>
      </c>
      <c r="C114" s="1" t="n">
        <v>46201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10185-2023</t>
        </is>
      </c>
      <c r="B115" s="1" t="n">
        <v>44986</v>
      </c>
      <c r="C115" s="1" t="n">
        <v>46201</v>
      </c>
      <c r="D115" t="inlineStr">
        <is>
          <t>VÄSTRA GÖTALANDS LÄN</t>
        </is>
      </c>
      <c r="E115" t="inlineStr">
        <is>
          <t>TÖREBODA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45649-2024</t>
        </is>
      </c>
      <c r="B116" s="1" t="n">
        <v>45579</v>
      </c>
      <c r="C116" s="1" t="n">
        <v>46201</v>
      </c>
      <c r="D116" t="inlineStr">
        <is>
          <t>VÄSTRA GÖTALANDS LÄN</t>
        </is>
      </c>
      <c r="E116" t="inlineStr">
        <is>
          <t>TÖREBODA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15086-2024</t>
        </is>
      </c>
      <c r="B117" s="1" t="n">
        <v>45399</v>
      </c>
      <c r="C117" s="1" t="n">
        <v>46201</v>
      </c>
      <c r="D117" t="inlineStr">
        <is>
          <t>VÄSTRA GÖTALANDS LÄN</t>
        </is>
      </c>
      <c r="E117" t="inlineStr">
        <is>
          <t>TÖREBODA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35448-2024</t>
        </is>
      </c>
      <c r="B118" s="1" t="n">
        <v>45531</v>
      </c>
      <c r="C118" s="1" t="n">
        <v>46201</v>
      </c>
      <c r="D118" t="inlineStr">
        <is>
          <t>VÄSTRA GÖTALANDS LÄN</t>
        </is>
      </c>
      <c r="E118" t="inlineStr">
        <is>
          <t>TÖREBODA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35489-2024</t>
        </is>
      </c>
      <c r="B119" s="1" t="n">
        <v>45531</v>
      </c>
      <c r="C119" s="1" t="n">
        <v>46201</v>
      </c>
      <c r="D119" t="inlineStr">
        <is>
          <t>VÄSTRA GÖTALANDS LÄN</t>
        </is>
      </c>
      <c r="E119" t="inlineStr">
        <is>
          <t>TÖREBODA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6442-2025</t>
        </is>
      </c>
      <c r="B120" s="1" t="n">
        <v>45699</v>
      </c>
      <c r="C120" s="1" t="n">
        <v>46201</v>
      </c>
      <c r="D120" t="inlineStr">
        <is>
          <t>VÄSTRA GÖTALANDS LÄN</t>
        </is>
      </c>
      <c r="E120" t="inlineStr">
        <is>
          <t>TÖREBODA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13056-2023</t>
        </is>
      </c>
      <c r="B121" s="1" t="n">
        <v>45002</v>
      </c>
      <c r="C121" s="1" t="n">
        <v>46201</v>
      </c>
      <c r="D121" t="inlineStr">
        <is>
          <t>VÄSTRA GÖTALANDS LÄN</t>
        </is>
      </c>
      <c r="E121" t="inlineStr">
        <is>
          <t>TÖREBODA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35438-2024</t>
        </is>
      </c>
      <c r="B122" s="1" t="n">
        <v>45531</v>
      </c>
      <c r="C122" s="1" t="n">
        <v>46201</v>
      </c>
      <c r="D122" t="inlineStr">
        <is>
          <t>VÄSTRA GÖTALANDS LÄN</t>
        </is>
      </c>
      <c r="E122" t="inlineStr">
        <is>
          <t>TÖREBODA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905-2025</t>
        </is>
      </c>
      <c r="B123" s="1" t="n">
        <v>45664</v>
      </c>
      <c r="C123" s="1" t="n">
        <v>46201</v>
      </c>
      <c r="D123" t="inlineStr">
        <is>
          <t>VÄSTRA GÖTALANDS LÄN</t>
        </is>
      </c>
      <c r="E123" t="inlineStr">
        <is>
          <t>TÖREBODA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39621-2024</t>
        </is>
      </c>
      <c r="B124" s="1" t="n">
        <v>45552</v>
      </c>
      <c r="C124" s="1" t="n">
        <v>46201</v>
      </c>
      <c r="D124" t="inlineStr">
        <is>
          <t>VÄSTRA GÖTALANDS LÄN</t>
        </is>
      </c>
      <c r="E124" t="inlineStr">
        <is>
          <t>TÖREBODA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58213-2022</t>
        </is>
      </c>
      <c r="B125" s="1" t="n">
        <v>44901</v>
      </c>
      <c r="C125" s="1" t="n">
        <v>46201</v>
      </c>
      <c r="D125" t="inlineStr">
        <is>
          <t>VÄSTRA GÖTALANDS LÄN</t>
        </is>
      </c>
      <c r="E125" t="inlineStr">
        <is>
          <t>TÖREBODA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41627-2022</t>
        </is>
      </c>
      <c r="B126" s="1" t="n">
        <v>44827</v>
      </c>
      <c r="C126" s="1" t="n">
        <v>46201</v>
      </c>
      <c r="D126" t="inlineStr">
        <is>
          <t>VÄSTRA GÖTALANDS LÄN</t>
        </is>
      </c>
      <c r="E126" t="inlineStr">
        <is>
          <t>TÖREBODA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41632-2022</t>
        </is>
      </c>
      <c r="B127" s="1" t="n">
        <v>44827</v>
      </c>
      <c r="C127" s="1" t="n">
        <v>46201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62542-2022</t>
        </is>
      </c>
      <c r="B128" s="1" t="n">
        <v>44924</v>
      </c>
      <c r="C128" s="1" t="n">
        <v>46201</v>
      </c>
      <c r="D128" t="inlineStr">
        <is>
          <t>VÄSTRA GÖTALANDS LÄN</t>
        </is>
      </c>
      <c r="E128" t="inlineStr">
        <is>
          <t>TÖREBODA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54734-2023</t>
        </is>
      </c>
      <c r="B129" s="1" t="n">
        <v>45236</v>
      </c>
      <c r="C129" s="1" t="n">
        <v>46201</v>
      </c>
      <c r="D129" t="inlineStr">
        <is>
          <t>VÄSTRA GÖTALANDS LÄN</t>
        </is>
      </c>
      <c r="E129" t="inlineStr">
        <is>
          <t>TÖREBODA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23033-2024</t>
        </is>
      </c>
      <c r="B130" s="1" t="n">
        <v>45450</v>
      </c>
      <c r="C130" s="1" t="n">
        <v>46201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4941-2023</t>
        </is>
      </c>
      <c r="B131" s="1" t="n">
        <v>44958</v>
      </c>
      <c r="C131" s="1" t="n">
        <v>46201</v>
      </c>
      <c r="D131" t="inlineStr">
        <is>
          <t>VÄSTRA GÖTALANDS LÄN</t>
        </is>
      </c>
      <c r="E131" t="inlineStr">
        <is>
          <t>TÖREBODA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62359-2022</t>
        </is>
      </c>
      <c r="B132" s="1" t="n">
        <v>44923</v>
      </c>
      <c r="C132" s="1" t="n">
        <v>46201</v>
      </c>
      <c r="D132" t="inlineStr">
        <is>
          <t>VÄSTRA GÖTALANDS LÄN</t>
        </is>
      </c>
      <c r="E132" t="inlineStr">
        <is>
          <t>TÖREBODA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62363-2022</t>
        </is>
      </c>
      <c r="B133" s="1" t="n">
        <v>44923</v>
      </c>
      <c r="C133" s="1" t="n">
        <v>46201</v>
      </c>
      <c r="D133" t="inlineStr">
        <is>
          <t>VÄSTRA GÖTALANDS LÄN</t>
        </is>
      </c>
      <c r="E133" t="inlineStr">
        <is>
          <t>TÖREBODA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29739-2024</t>
        </is>
      </c>
      <c r="B134" s="1" t="n">
        <v>45485</v>
      </c>
      <c r="C134" s="1" t="n">
        <v>46201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40598-2024</t>
        </is>
      </c>
      <c r="B135" s="1" t="n">
        <v>45556</v>
      </c>
      <c r="C135" s="1" t="n">
        <v>46201</v>
      </c>
      <c r="D135" t="inlineStr">
        <is>
          <t>VÄSTRA GÖTALANDS LÄN</t>
        </is>
      </c>
      <c r="E135" t="inlineStr">
        <is>
          <t>TÖREBODA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28183-2022</t>
        </is>
      </c>
      <c r="B136" s="1" t="n">
        <v>44746</v>
      </c>
      <c r="C136" s="1" t="n">
        <v>46201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48973-2023</t>
        </is>
      </c>
      <c r="B137" s="1" t="n">
        <v>45209</v>
      </c>
      <c r="C137" s="1" t="n">
        <v>46201</v>
      </c>
      <c r="D137" t="inlineStr">
        <is>
          <t>VÄSTRA GÖTALANDS LÄN</t>
        </is>
      </c>
      <c r="E137" t="inlineStr">
        <is>
          <t>TÖREBODA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58123-2022</t>
        </is>
      </c>
      <c r="B138" s="1" t="n">
        <v>44900</v>
      </c>
      <c r="C138" s="1" t="n">
        <v>46201</v>
      </c>
      <c r="D138" t="inlineStr">
        <is>
          <t>VÄSTRA GÖTALANDS LÄN</t>
        </is>
      </c>
      <c r="E138" t="inlineStr">
        <is>
          <t>TÖREBODA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6162-2023</t>
        </is>
      </c>
      <c r="B139" s="1" t="n">
        <v>44964</v>
      </c>
      <c r="C139" s="1" t="n">
        <v>46201</v>
      </c>
      <c r="D139" t="inlineStr">
        <is>
          <t>VÄSTRA GÖTALANDS LÄN</t>
        </is>
      </c>
      <c r="E139" t="inlineStr">
        <is>
          <t>TÖREBODA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17360-2024</t>
        </is>
      </c>
      <c r="B140" s="1" t="n">
        <v>45414</v>
      </c>
      <c r="C140" s="1" t="n">
        <v>46201</v>
      </c>
      <c r="D140" t="inlineStr">
        <is>
          <t>VÄSTRA GÖTALANDS LÄN</t>
        </is>
      </c>
      <c r="E140" t="inlineStr">
        <is>
          <t>TÖREBODA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59440-2022</t>
        </is>
      </c>
      <c r="B141" s="1" t="n">
        <v>44907</v>
      </c>
      <c r="C141" s="1" t="n">
        <v>46201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42109-2024</t>
        </is>
      </c>
      <c r="B142" s="1" t="n">
        <v>45562</v>
      </c>
      <c r="C142" s="1" t="n">
        <v>46201</v>
      </c>
      <c r="D142" t="inlineStr">
        <is>
          <t>VÄSTRA GÖTALANDS LÄN</t>
        </is>
      </c>
      <c r="E142" t="inlineStr">
        <is>
          <t>TÖREBODA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35232-2024</t>
        </is>
      </c>
      <c r="B143" s="1" t="n">
        <v>45530</v>
      </c>
      <c r="C143" s="1" t="n">
        <v>46201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6811-2025</t>
        </is>
      </c>
      <c r="B144" s="1" t="n">
        <v>45700</v>
      </c>
      <c r="C144" s="1" t="n">
        <v>46201</v>
      </c>
      <c r="D144" t="inlineStr">
        <is>
          <t>VÄSTRA GÖTALANDS LÄN</t>
        </is>
      </c>
      <c r="E144" t="inlineStr">
        <is>
          <t>TÖREBODA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4708-2024</t>
        </is>
      </c>
      <c r="B145" s="1" t="n">
        <v>45328</v>
      </c>
      <c r="C145" s="1" t="n">
        <v>46201</v>
      </c>
      <c r="D145" t="inlineStr">
        <is>
          <t>VÄSTRA GÖTALANDS LÄN</t>
        </is>
      </c>
      <c r="E145" t="inlineStr">
        <is>
          <t>TÖREBODA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44518-2023</t>
        </is>
      </c>
      <c r="B146" s="1" t="n">
        <v>45189</v>
      </c>
      <c r="C146" s="1" t="n">
        <v>46201</v>
      </c>
      <c r="D146" t="inlineStr">
        <is>
          <t>VÄSTRA GÖTALANDS LÄN</t>
        </is>
      </c>
      <c r="E146" t="inlineStr">
        <is>
          <t>TÖREBODA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33276-2023</t>
        </is>
      </c>
      <c r="B147" s="1" t="n">
        <v>45127</v>
      </c>
      <c r="C147" s="1" t="n">
        <v>46201</v>
      </c>
      <c r="D147" t="inlineStr">
        <is>
          <t>VÄSTRA GÖTALANDS LÄN</t>
        </is>
      </c>
      <c r="E147" t="inlineStr">
        <is>
          <t>TÖREBODA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9651-2023</t>
        </is>
      </c>
      <c r="B148" s="1" t="n">
        <v>44978</v>
      </c>
      <c r="C148" s="1" t="n">
        <v>46201</v>
      </c>
      <c r="D148" t="inlineStr">
        <is>
          <t>VÄSTRA GÖTALANDS LÄN</t>
        </is>
      </c>
      <c r="E148" t="inlineStr">
        <is>
          <t>TÖREBODA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56805-2023</t>
        </is>
      </c>
      <c r="B149" s="1" t="n">
        <v>45244</v>
      </c>
      <c r="C149" s="1" t="n">
        <v>46201</v>
      </c>
      <c r="D149" t="inlineStr">
        <is>
          <t>VÄSTRA GÖTALANDS LÄN</t>
        </is>
      </c>
      <c r="E149" t="inlineStr">
        <is>
          <t>TÖREBODA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24544-2024</t>
        </is>
      </c>
      <c r="B150" s="1" t="n">
        <v>45460</v>
      </c>
      <c r="C150" s="1" t="n">
        <v>46201</v>
      </c>
      <c r="D150" t="inlineStr">
        <is>
          <t>VÄSTRA GÖTALANDS LÄN</t>
        </is>
      </c>
      <c r="E150" t="inlineStr">
        <is>
          <t>TÖREBODA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24546-2024</t>
        </is>
      </c>
      <c r="B151" s="1" t="n">
        <v>45460</v>
      </c>
      <c r="C151" s="1" t="n">
        <v>46201</v>
      </c>
      <c r="D151" t="inlineStr">
        <is>
          <t>VÄSTRA GÖTALANDS LÄN</t>
        </is>
      </c>
      <c r="E151" t="inlineStr">
        <is>
          <t>TÖREBODA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64799-2023</t>
        </is>
      </c>
      <c r="B152" s="1" t="n">
        <v>45282</v>
      </c>
      <c r="C152" s="1" t="n">
        <v>46201</v>
      </c>
      <c r="D152" t="inlineStr">
        <is>
          <t>VÄSTRA GÖTALANDS LÄN</t>
        </is>
      </c>
      <c r="E152" t="inlineStr">
        <is>
          <t>TÖREBODA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22048-2024</t>
        </is>
      </c>
      <c r="B153" s="1" t="n">
        <v>45443</v>
      </c>
      <c r="C153" s="1" t="n">
        <v>46201</v>
      </c>
      <c r="D153" t="inlineStr">
        <is>
          <t>VÄSTRA GÖTALANDS LÄN</t>
        </is>
      </c>
      <c r="E153" t="inlineStr">
        <is>
          <t>TÖREBODA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47319-2022</t>
        </is>
      </c>
      <c r="B154" s="1" t="n">
        <v>44853</v>
      </c>
      <c r="C154" s="1" t="n">
        <v>46201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35239-2023</t>
        </is>
      </c>
      <c r="B155" s="1" t="n">
        <v>45145</v>
      </c>
      <c r="C155" s="1" t="n">
        <v>46201</v>
      </c>
      <c r="D155" t="inlineStr">
        <is>
          <t>VÄSTRA GÖTALANDS LÄN</t>
        </is>
      </c>
      <c r="E155" t="inlineStr">
        <is>
          <t>TÖREBODA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10598-2023</t>
        </is>
      </c>
      <c r="B156" s="1" t="n">
        <v>44988</v>
      </c>
      <c r="C156" s="1" t="n">
        <v>46201</v>
      </c>
      <c r="D156" t="inlineStr">
        <is>
          <t>VÄSTRA GÖTALANDS LÄN</t>
        </is>
      </c>
      <c r="E156" t="inlineStr">
        <is>
          <t>TÖREBODA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10430-2023</t>
        </is>
      </c>
      <c r="B157" s="1" t="n">
        <v>44987</v>
      </c>
      <c r="C157" s="1" t="n">
        <v>46201</v>
      </c>
      <c r="D157" t="inlineStr">
        <is>
          <t>VÄSTRA GÖTALANDS LÄN</t>
        </is>
      </c>
      <c r="E157" t="inlineStr">
        <is>
          <t>TÖREBODA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10431-2023</t>
        </is>
      </c>
      <c r="B158" s="1" t="n">
        <v>44987</v>
      </c>
      <c r="C158" s="1" t="n">
        <v>46201</v>
      </c>
      <c r="D158" t="inlineStr">
        <is>
          <t>VÄSTRA GÖTALANDS LÄN</t>
        </is>
      </c>
      <c r="E158" t="inlineStr">
        <is>
          <t>TÖREBODA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39798-2024</t>
        </is>
      </c>
      <c r="B159" s="1" t="n">
        <v>45553</v>
      </c>
      <c r="C159" s="1" t="n">
        <v>46201</v>
      </c>
      <c r="D159" t="inlineStr">
        <is>
          <t>VÄSTRA GÖTALANDS LÄN</t>
        </is>
      </c>
      <c r="E159" t="inlineStr">
        <is>
          <t>TÖREBODA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24349-2023</t>
        </is>
      </c>
      <c r="B160" s="1" t="n">
        <v>45082</v>
      </c>
      <c r="C160" s="1" t="n">
        <v>46201</v>
      </c>
      <c r="D160" t="inlineStr">
        <is>
          <t>VÄSTRA GÖTALANDS LÄN</t>
        </is>
      </c>
      <c r="E160" t="inlineStr">
        <is>
          <t>TÖREBODA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58226-2022</t>
        </is>
      </c>
      <c r="B161" s="1" t="n">
        <v>44901</v>
      </c>
      <c r="C161" s="1" t="n">
        <v>46201</v>
      </c>
      <c r="D161" t="inlineStr">
        <is>
          <t>VÄSTRA GÖTALANDS LÄN</t>
        </is>
      </c>
      <c r="E161" t="inlineStr">
        <is>
          <t>TÖREBODA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16007-2024</t>
        </is>
      </c>
      <c r="B162" s="1" t="n">
        <v>45405</v>
      </c>
      <c r="C162" s="1" t="n">
        <v>46201</v>
      </c>
      <c r="D162" t="inlineStr">
        <is>
          <t>VÄSTRA GÖTALANDS LÄN</t>
        </is>
      </c>
      <c r="E162" t="inlineStr">
        <is>
          <t>TÖREBODA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8402-2024</t>
        </is>
      </c>
      <c r="B163" s="1" t="n">
        <v>45352</v>
      </c>
      <c r="C163" s="1" t="n">
        <v>46201</v>
      </c>
      <c r="D163" t="inlineStr">
        <is>
          <t>VÄSTRA GÖTALANDS LÄN</t>
        </is>
      </c>
      <c r="E163" t="inlineStr">
        <is>
          <t>TÖREBODA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18687-2025</t>
        </is>
      </c>
      <c r="B164" s="1" t="n">
        <v>45763</v>
      </c>
      <c r="C164" s="1" t="n">
        <v>46201</v>
      </c>
      <c r="D164" t="inlineStr">
        <is>
          <t>VÄSTRA GÖTALANDS LÄN</t>
        </is>
      </c>
      <c r="E164" t="inlineStr">
        <is>
          <t>TÖREBODA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62781-2023</t>
        </is>
      </c>
      <c r="B165" s="1" t="n">
        <v>45268</v>
      </c>
      <c r="C165" s="1" t="n">
        <v>46201</v>
      </c>
      <c r="D165" t="inlineStr">
        <is>
          <t>VÄSTRA GÖTALANDS LÄN</t>
        </is>
      </c>
      <c r="E165" t="inlineStr">
        <is>
          <t>TÖREBODA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62782-2023</t>
        </is>
      </c>
      <c r="B166" s="1" t="n">
        <v>45268</v>
      </c>
      <c r="C166" s="1" t="n">
        <v>46201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1554-2023</t>
        </is>
      </c>
      <c r="B167" s="1" t="n">
        <v>44937</v>
      </c>
      <c r="C167" s="1" t="n">
        <v>46201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4666-2024</t>
        </is>
      </c>
      <c r="B168" s="1" t="n">
        <v>45328</v>
      </c>
      <c r="C168" s="1" t="n">
        <v>46201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7676-2025</t>
        </is>
      </c>
      <c r="B169" s="1" t="n">
        <v>45706</v>
      </c>
      <c r="C169" s="1" t="n">
        <v>46201</v>
      </c>
      <c r="D169" t="inlineStr">
        <is>
          <t>VÄSTRA GÖTALANDS LÄN</t>
        </is>
      </c>
      <c r="E169" t="inlineStr">
        <is>
          <t>TÖREBODA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10833-2024</t>
        </is>
      </c>
      <c r="B170" s="1" t="n">
        <v>45369</v>
      </c>
      <c r="C170" s="1" t="n">
        <v>46201</v>
      </c>
      <c r="D170" t="inlineStr">
        <is>
          <t>VÄSTRA GÖTALANDS LÄN</t>
        </is>
      </c>
      <c r="E170" t="inlineStr">
        <is>
          <t>TÖREBODA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59438-2022</t>
        </is>
      </c>
      <c r="B171" s="1" t="n">
        <v>44907</v>
      </c>
      <c r="C171" s="1" t="n">
        <v>46201</v>
      </c>
      <c r="D171" t="inlineStr">
        <is>
          <t>VÄSTRA GÖTALANDS LÄN</t>
        </is>
      </c>
      <c r="E171" t="inlineStr">
        <is>
          <t>TÖREBODA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28044-2023</t>
        </is>
      </c>
      <c r="B172" s="1" t="n">
        <v>45099</v>
      </c>
      <c r="C172" s="1" t="n">
        <v>46201</v>
      </c>
      <c r="D172" t="inlineStr">
        <is>
          <t>VÄSTRA GÖTALANDS LÄN</t>
        </is>
      </c>
      <c r="E172" t="inlineStr">
        <is>
          <t>TÖREBODA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39797-2024</t>
        </is>
      </c>
      <c r="B173" s="1" t="n">
        <v>45553</v>
      </c>
      <c r="C173" s="1" t="n">
        <v>46201</v>
      </c>
      <c r="D173" t="inlineStr">
        <is>
          <t>VÄSTRA GÖTALANDS LÄN</t>
        </is>
      </c>
      <c r="E173" t="inlineStr">
        <is>
          <t>TÖREBODA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26941-2025</t>
        </is>
      </c>
      <c r="B174" s="1" t="n">
        <v>45811</v>
      </c>
      <c r="C174" s="1" t="n">
        <v>46201</v>
      </c>
      <c r="D174" t="inlineStr">
        <is>
          <t>VÄSTRA GÖTALANDS LÄN</t>
        </is>
      </c>
      <c r="E174" t="inlineStr">
        <is>
          <t>TÖREBODA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7826-2024</t>
        </is>
      </c>
      <c r="B175" s="1" t="n">
        <v>45349</v>
      </c>
      <c r="C175" s="1" t="n">
        <v>46201</v>
      </c>
      <c r="D175" t="inlineStr">
        <is>
          <t>VÄSTRA GÖTALANDS LÄN</t>
        </is>
      </c>
      <c r="E175" t="inlineStr">
        <is>
          <t>TÖREBODA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26963-2025</t>
        </is>
      </c>
      <c r="B176" s="1" t="n">
        <v>45811</v>
      </c>
      <c r="C176" s="1" t="n">
        <v>46201</v>
      </c>
      <c r="D176" t="inlineStr">
        <is>
          <t>VÄSTRA GÖTALANDS LÄN</t>
        </is>
      </c>
      <c r="E176" t="inlineStr">
        <is>
          <t>TÖREBODA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57974-2022</t>
        </is>
      </c>
      <c r="B177" s="1" t="n">
        <v>44900</v>
      </c>
      <c r="C177" s="1" t="n">
        <v>46201</v>
      </c>
      <c r="D177" t="inlineStr">
        <is>
          <t>VÄSTRA GÖTALANDS LÄN</t>
        </is>
      </c>
      <c r="E177" t="inlineStr">
        <is>
          <t>TÖREBODA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40542-2024</t>
        </is>
      </c>
      <c r="B178" s="1" t="n">
        <v>45555</v>
      </c>
      <c r="C178" s="1" t="n">
        <v>46201</v>
      </c>
      <c r="D178" t="inlineStr">
        <is>
          <t>VÄSTRA GÖTALANDS LÄN</t>
        </is>
      </c>
      <c r="E178" t="inlineStr">
        <is>
          <t>TÖREBODA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907-2025</t>
        </is>
      </c>
      <c r="B179" s="1" t="n">
        <v>45664</v>
      </c>
      <c r="C179" s="1" t="n">
        <v>46201</v>
      </c>
      <c r="D179" t="inlineStr">
        <is>
          <t>VÄSTRA GÖTALANDS LÄN</t>
        </is>
      </c>
      <c r="E179" t="inlineStr">
        <is>
          <t>TÖREBODA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4218-2023</t>
        </is>
      </c>
      <c r="B180" s="1" t="n">
        <v>44951</v>
      </c>
      <c r="C180" s="1" t="n">
        <v>46201</v>
      </c>
      <c r="D180" t="inlineStr">
        <is>
          <t>VÄSTRA GÖTALANDS LÄN</t>
        </is>
      </c>
      <c r="E180" t="inlineStr">
        <is>
          <t>TÖREBODA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17497-2025</t>
        </is>
      </c>
      <c r="B181" s="1" t="n">
        <v>45757</v>
      </c>
      <c r="C181" s="1" t="n">
        <v>46201</v>
      </c>
      <c r="D181" t="inlineStr">
        <is>
          <t>VÄSTRA GÖTALANDS LÄN</t>
        </is>
      </c>
      <c r="E181" t="inlineStr">
        <is>
          <t>TÖREBODA</t>
        </is>
      </c>
      <c r="G181" t="n">
        <v>49.4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28869-2025</t>
        </is>
      </c>
      <c r="B182" s="1" t="n">
        <v>45820</v>
      </c>
      <c r="C182" s="1" t="n">
        <v>46201</v>
      </c>
      <c r="D182" t="inlineStr">
        <is>
          <t>VÄSTRA GÖTALANDS LÄN</t>
        </is>
      </c>
      <c r="E182" t="inlineStr">
        <is>
          <t>TÖREBODA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43561-2024</t>
        </is>
      </c>
      <c r="B183" s="1" t="n">
        <v>45569</v>
      </c>
      <c r="C183" s="1" t="n">
        <v>46201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18741-2025</t>
        </is>
      </c>
      <c r="B184" s="1" t="n">
        <v>45763</v>
      </c>
      <c r="C184" s="1" t="n">
        <v>46201</v>
      </c>
      <c r="D184" t="inlineStr">
        <is>
          <t>VÄSTRA GÖTALANDS LÄN</t>
        </is>
      </c>
      <c r="E184" t="inlineStr">
        <is>
          <t>TÖREBODA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24545-2024</t>
        </is>
      </c>
      <c r="B185" s="1" t="n">
        <v>45460</v>
      </c>
      <c r="C185" s="1" t="n">
        <v>46201</v>
      </c>
      <c r="D185" t="inlineStr">
        <is>
          <t>VÄSTRA GÖTALANDS LÄN</t>
        </is>
      </c>
      <c r="E185" t="inlineStr">
        <is>
          <t>TÖREBODA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16703-2025</t>
        </is>
      </c>
      <c r="B186" s="1" t="n">
        <v>45754</v>
      </c>
      <c r="C186" s="1" t="n">
        <v>46201</v>
      </c>
      <c r="D186" t="inlineStr">
        <is>
          <t>VÄSTRA GÖTALANDS LÄN</t>
        </is>
      </c>
      <c r="E186" t="inlineStr">
        <is>
          <t>TÖREBODA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4300-2025</t>
        </is>
      </c>
      <c r="B187" s="1" t="n">
        <v>45685</v>
      </c>
      <c r="C187" s="1" t="n">
        <v>46201</v>
      </c>
      <c r="D187" t="inlineStr">
        <is>
          <t>VÄSTRA GÖTALANDS LÄN</t>
        </is>
      </c>
      <c r="E187" t="inlineStr">
        <is>
          <t>TÖREBODA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51889-2024</t>
        </is>
      </c>
      <c r="B188" s="1" t="n">
        <v>45607</v>
      </c>
      <c r="C188" s="1" t="n">
        <v>46201</v>
      </c>
      <c r="D188" t="inlineStr">
        <is>
          <t>VÄSTRA GÖTALANDS LÄN</t>
        </is>
      </c>
      <c r="E188" t="inlineStr">
        <is>
          <t>TÖREBODA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63113-2023</t>
        </is>
      </c>
      <c r="B189" s="1" t="n">
        <v>45273</v>
      </c>
      <c r="C189" s="1" t="n">
        <v>46201</v>
      </c>
      <c r="D189" t="inlineStr">
        <is>
          <t>VÄSTRA GÖTALANDS LÄN</t>
        </is>
      </c>
      <c r="E189" t="inlineStr">
        <is>
          <t>TÖREBODA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30591-2025</t>
        </is>
      </c>
      <c r="B190" s="1" t="n">
        <v>45831</v>
      </c>
      <c r="C190" s="1" t="n">
        <v>46201</v>
      </c>
      <c r="D190" t="inlineStr">
        <is>
          <t>VÄSTRA GÖTALANDS LÄN</t>
        </is>
      </c>
      <c r="E190" t="inlineStr">
        <is>
          <t>TÖREBODA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34862-2023</t>
        </is>
      </c>
      <c r="B191" s="1" t="n">
        <v>45142</v>
      </c>
      <c r="C191" s="1" t="n">
        <v>46201</v>
      </c>
      <c r="D191" t="inlineStr">
        <is>
          <t>VÄSTRA GÖTALANDS LÄN</t>
        </is>
      </c>
      <c r="E191" t="inlineStr">
        <is>
          <t>TÖREBODA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39791-2024</t>
        </is>
      </c>
      <c r="B192" s="1" t="n">
        <v>45553</v>
      </c>
      <c r="C192" s="1" t="n">
        <v>46201</v>
      </c>
      <c r="D192" t="inlineStr">
        <is>
          <t>VÄSTRA GÖTALANDS LÄN</t>
        </is>
      </c>
      <c r="E192" t="inlineStr">
        <is>
          <t>TÖREBODA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35487-2024</t>
        </is>
      </c>
      <c r="B193" s="1" t="n">
        <v>45531</v>
      </c>
      <c r="C193" s="1" t="n">
        <v>46201</v>
      </c>
      <c r="D193" t="inlineStr">
        <is>
          <t>VÄSTRA GÖTALANDS LÄN</t>
        </is>
      </c>
      <c r="E193" t="inlineStr">
        <is>
          <t>TÖREBODA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38266-2021</t>
        </is>
      </c>
      <c r="B194" s="1" t="n">
        <v>44405</v>
      </c>
      <c r="C194" s="1" t="n">
        <v>46201</v>
      </c>
      <c r="D194" t="inlineStr">
        <is>
          <t>VÄSTRA GÖTALANDS LÄN</t>
        </is>
      </c>
      <c r="E194" t="inlineStr">
        <is>
          <t>TÖREBODA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32308-2025</t>
        </is>
      </c>
      <c r="B195" s="1" t="n">
        <v>45835</v>
      </c>
      <c r="C195" s="1" t="n">
        <v>46201</v>
      </c>
      <c r="D195" t="inlineStr">
        <is>
          <t>VÄSTRA GÖTALANDS LÄN</t>
        </is>
      </c>
      <c r="E195" t="inlineStr">
        <is>
          <t>TÖREBODA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58013-2022</t>
        </is>
      </c>
      <c r="B196" s="1" t="n">
        <v>44900</v>
      </c>
      <c r="C196" s="1" t="n">
        <v>46201</v>
      </c>
      <c r="D196" t="inlineStr">
        <is>
          <t>VÄSTRA GÖTALANDS LÄN</t>
        </is>
      </c>
      <c r="E196" t="inlineStr">
        <is>
          <t>TÖREBODA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32155-2025</t>
        </is>
      </c>
      <c r="B197" s="1" t="n">
        <v>45835</v>
      </c>
      <c r="C197" s="1" t="n">
        <v>46201</v>
      </c>
      <c r="D197" t="inlineStr">
        <is>
          <t>VÄSTRA GÖTALANDS LÄN</t>
        </is>
      </c>
      <c r="E197" t="inlineStr">
        <is>
          <t>TÖREBODA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53791-2023</t>
        </is>
      </c>
      <c r="B198" s="1" t="n">
        <v>45231</v>
      </c>
      <c r="C198" s="1" t="n">
        <v>46201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27251-2023</t>
        </is>
      </c>
      <c r="B199" s="1" t="n">
        <v>45096</v>
      </c>
      <c r="C199" s="1" t="n">
        <v>46201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Övriga statliga verk och myndigheter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33309-2025</t>
        </is>
      </c>
      <c r="B200" s="1" t="n">
        <v>45841</v>
      </c>
      <c r="C200" s="1" t="n">
        <v>46201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Övriga statliga verk och myndigheter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33541-2025</t>
        </is>
      </c>
      <c r="B201" s="1" t="n">
        <v>45841</v>
      </c>
      <c r="C201" s="1" t="n">
        <v>46201</v>
      </c>
      <c r="D201" t="inlineStr">
        <is>
          <t>VÄSTRA GÖTALANDS LÄN</t>
        </is>
      </c>
      <c r="E201" t="inlineStr">
        <is>
          <t>TÖREBODA</t>
        </is>
      </c>
      <c r="F201" t="inlineStr">
        <is>
          <t>Övriga statliga verk och myndigheter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33530-2025</t>
        </is>
      </c>
      <c r="B202" s="1" t="n">
        <v>45841</v>
      </c>
      <c r="C202" s="1" t="n">
        <v>46201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33331-2025</t>
        </is>
      </c>
      <c r="B203" s="1" t="n">
        <v>45841</v>
      </c>
      <c r="C203" s="1" t="n">
        <v>46201</v>
      </c>
      <c r="D203" t="inlineStr">
        <is>
          <t>VÄSTRA GÖTALANDS LÄN</t>
        </is>
      </c>
      <c r="E203" t="inlineStr">
        <is>
          <t>TÖREBODA</t>
        </is>
      </c>
      <c r="F203" t="inlineStr">
        <is>
          <t>Övriga statliga verk och myndigheter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33534-2025</t>
        </is>
      </c>
      <c r="B204" s="1" t="n">
        <v>45841</v>
      </c>
      <c r="C204" s="1" t="n">
        <v>46201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33316-2025</t>
        </is>
      </c>
      <c r="B205" s="1" t="n">
        <v>45841</v>
      </c>
      <c r="C205" s="1" t="n">
        <v>46201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Övriga statliga verk och myndigheter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33396-2025</t>
        </is>
      </c>
      <c r="B206" s="1" t="n">
        <v>45841</v>
      </c>
      <c r="C206" s="1" t="n">
        <v>46201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Övriga statliga verk och myndigheter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59315-2024</t>
        </is>
      </c>
      <c r="B207" s="1" t="n">
        <v>45637</v>
      </c>
      <c r="C207" s="1" t="n">
        <v>46201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7680-2023</t>
        </is>
      </c>
      <c r="B208" s="1" t="n">
        <v>44972</v>
      </c>
      <c r="C208" s="1" t="n">
        <v>46201</v>
      </c>
      <c r="D208" t="inlineStr">
        <is>
          <t>VÄSTRA GÖTALANDS LÄN</t>
        </is>
      </c>
      <c r="E208" t="inlineStr">
        <is>
          <t>TÖREBODA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1550-2023</t>
        </is>
      </c>
      <c r="B209" s="1" t="n">
        <v>44937</v>
      </c>
      <c r="C209" s="1" t="n">
        <v>46201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Övriga statliga verk och myndigheter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18845-2025</t>
        </is>
      </c>
      <c r="B210" s="1" t="n">
        <v>45764</v>
      </c>
      <c r="C210" s="1" t="n">
        <v>46201</v>
      </c>
      <c r="D210" t="inlineStr">
        <is>
          <t>VÄSTRA GÖTALANDS LÄN</t>
        </is>
      </c>
      <c r="E210" t="inlineStr">
        <is>
          <t>TÖREBODA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56682-2024</t>
        </is>
      </c>
      <c r="B211" s="1" t="n">
        <v>45627</v>
      </c>
      <c r="C211" s="1" t="n">
        <v>46201</v>
      </c>
      <c r="D211" t="inlineStr">
        <is>
          <t>VÄSTRA GÖTALANDS LÄN</t>
        </is>
      </c>
      <c r="E211" t="inlineStr">
        <is>
          <t>TÖREBODA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39660-2024</t>
        </is>
      </c>
      <c r="B212" s="1" t="n">
        <v>45552</v>
      </c>
      <c r="C212" s="1" t="n">
        <v>46201</v>
      </c>
      <c r="D212" t="inlineStr">
        <is>
          <t>VÄSTRA GÖTALANDS LÄN</t>
        </is>
      </c>
      <c r="E212" t="inlineStr">
        <is>
          <t>TÖREBODA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34436-2022</t>
        </is>
      </c>
      <c r="B213" s="1" t="n">
        <v>44792</v>
      </c>
      <c r="C213" s="1" t="n">
        <v>46201</v>
      </c>
      <c r="D213" t="inlineStr">
        <is>
          <t>VÄSTRA GÖTALANDS LÄN</t>
        </is>
      </c>
      <c r="E213" t="inlineStr">
        <is>
          <t>TÖREBODA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19874-2022</t>
        </is>
      </c>
      <c r="B214" s="1" t="n">
        <v>44697</v>
      </c>
      <c r="C214" s="1" t="n">
        <v>46201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10442-2025</t>
        </is>
      </c>
      <c r="B215" s="1" t="n">
        <v>45720</v>
      </c>
      <c r="C215" s="1" t="n">
        <v>46201</v>
      </c>
      <c r="D215" t="inlineStr">
        <is>
          <t>VÄSTRA GÖTALANDS LÄN</t>
        </is>
      </c>
      <c r="E215" t="inlineStr">
        <is>
          <t>TÖREBODA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37837-2023</t>
        </is>
      </c>
      <c r="B216" s="1" t="n">
        <v>45156</v>
      </c>
      <c r="C216" s="1" t="n">
        <v>46201</v>
      </c>
      <c r="D216" t="inlineStr">
        <is>
          <t>VÄSTRA GÖTALANDS LÄN</t>
        </is>
      </c>
      <c r="E216" t="inlineStr">
        <is>
          <t>TÖREBODA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18449-2024</t>
        </is>
      </c>
      <c r="B217" s="1" t="n">
        <v>45425</v>
      </c>
      <c r="C217" s="1" t="n">
        <v>46201</v>
      </c>
      <c r="D217" t="inlineStr">
        <is>
          <t>VÄSTRA GÖTALANDS LÄN</t>
        </is>
      </c>
      <c r="E217" t="inlineStr">
        <is>
          <t>TÖREBODA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14550-2025</t>
        </is>
      </c>
      <c r="B218" s="1" t="n">
        <v>45741</v>
      </c>
      <c r="C218" s="1" t="n">
        <v>46201</v>
      </c>
      <c r="D218" t="inlineStr">
        <is>
          <t>VÄSTRA GÖTALANDS LÄN</t>
        </is>
      </c>
      <c r="E218" t="inlineStr">
        <is>
          <t>TÖREBODA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3968-2024</t>
        </is>
      </c>
      <c r="B219" s="1" t="n">
        <v>45322</v>
      </c>
      <c r="C219" s="1" t="n">
        <v>46201</v>
      </c>
      <c r="D219" t="inlineStr">
        <is>
          <t>VÄSTRA GÖTALANDS LÄN</t>
        </is>
      </c>
      <c r="E219" t="inlineStr">
        <is>
          <t>TÖREBODA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11683-2024</t>
        </is>
      </c>
      <c r="B220" s="1" t="n">
        <v>45373</v>
      </c>
      <c r="C220" s="1" t="n">
        <v>46201</v>
      </c>
      <c r="D220" t="inlineStr">
        <is>
          <t>VÄSTRA GÖTALANDS LÄN</t>
        </is>
      </c>
      <c r="E220" t="inlineStr">
        <is>
          <t>TÖREBODA</t>
        </is>
      </c>
      <c r="G220" t="n">
        <v>23.8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23662-2023</t>
        </is>
      </c>
      <c r="B221" s="1" t="n">
        <v>45077</v>
      </c>
      <c r="C221" s="1" t="n">
        <v>46201</v>
      </c>
      <c r="D221" t="inlineStr">
        <is>
          <t>VÄSTRA GÖTALANDS LÄN</t>
        </is>
      </c>
      <c r="E221" t="inlineStr">
        <is>
          <t>TÖREBODA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57984-2022</t>
        </is>
      </c>
      <c r="B222" s="1" t="n">
        <v>44900</v>
      </c>
      <c r="C222" s="1" t="n">
        <v>46201</v>
      </c>
      <c r="D222" t="inlineStr">
        <is>
          <t>VÄSTRA GÖTALANDS LÄN</t>
        </is>
      </c>
      <c r="E222" t="inlineStr">
        <is>
          <t>TÖREBODA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28196-2022</t>
        </is>
      </c>
      <c r="B223" s="1" t="n">
        <v>44746</v>
      </c>
      <c r="C223" s="1" t="n">
        <v>46201</v>
      </c>
      <c r="D223" t="inlineStr">
        <is>
          <t>VÄSTRA GÖTALANDS LÄN</t>
        </is>
      </c>
      <c r="E223" t="inlineStr">
        <is>
          <t>TÖREBODA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10448-2025</t>
        </is>
      </c>
      <c r="B224" s="1" t="n">
        <v>45720</v>
      </c>
      <c r="C224" s="1" t="n">
        <v>46201</v>
      </c>
      <c r="D224" t="inlineStr">
        <is>
          <t>VÄSTRA GÖTALANDS LÄN</t>
        </is>
      </c>
      <c r="E224" t="inlineStr">
        <is>
          <t>TÖREBODA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38705-2025</t>
        </is>
      </c>
      <c r="B225" s="1" t="n">
        <v>45885</v>
      </c>
      <c r="C225" s="1" t="n">
        <v>46201</v>
      </c>
      <c r="D225" t="inlineStr">
        <is>
          <t>VÄSTRA GÖTALANDS LÄN</t>
        </is>
      </c>
      <c r="E225" t="inlineStr">
        <is>
          <t>TÖREBODA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38706-2025</t>
        </is>
      </c>
      <c r="B226" s="1" t="n">
        <v>45885</v>
      </c>
      <c r="C226" s="1" t="n">
        <v>46201</v>
      </c>
      <c r="D226" t="inlineStr">
        <is>
          <t>VÄSTRA GÖTALANDS LÄN</t>
        </is>
      </c>
      <c r="E226" t="inlineStr">
        <is>
          <t>TÖREBODA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20976-2025</t>
        </is>
      </c>
      <c r="B227" s="1" t="n">
        <v>45777</v>
      </c>
      <c r="C227" s="1" t="n">
        <v>46201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58755-2022</t>
        </is>
      </c>
      <c r="B228" s="1" t="n">
        <v>44903</v>
      </c>
      <c r="C228" s="1" t="n">
        <v>46201</v>
      </c>
      <c r="D228" t="inlineStr">
        <is>
          <t>VÄSTRA GÖTALANDS LÄN</t>
        </is>
      </c>
      <c r="E228" t="inlineStr">
        <is>
          <t>TÖREBODA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46088-2024</t>
        </is>
      </c>
      <c r="B229" s="1" t="n">
        <v>45581</v>
      </c>
      <c r="C229" s="1" t="n">
        <v>46201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38704-2025</t>
        </is>
      </c>
      <c r="B230" s="1" t="n">
        <v>45885</v>
      </c>
      <c r="C230" s="1" t="n">
        <v>46201</v>
      </c>
      <c r="D230" t="inlineStr">
        <is>
          <t>VÄSTRA GÖTALANDS LÄN</t>
        </is>
      </c>
      <c r="E230" t="inlineStr">
        <is>
          <t>TÖREBODA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7120-2024</t>
        </is>
      </c>
      <c r="B231" s="1" t="n">
        <v>45344</v>
      </c>
      <c r="C231" s="1" t="n">
        <v>46201</v>
      </c>
      <c r="D231" t="inlineStr">
        <is>
          <t>VÄSTRA GÖTALANDS LÄN</t>
        </is>
      </c>
      <c r="E231" t="inlineStr">
        <is>
          <t>TÖREBODA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38287-2025</t>
        </is>
      </c>
      <c r="B232" s="1" t="n">
        <v>45882</v>
      </c>
      <c r="C232" s="1" t="n">
        <v>46201</v>
      </c>
      <c r="D232" t="inlineStr">
        <is>
          <t>VÄSTRA GÖTALANDS LÄN</t>
        </is>
      </c>
      <c r="E232" t="inlineStr">
        <is>
          <t>TÖREBODA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60267-2024</t>
        </is>
      </c>
      <c r="B233" s="1" t="n">
        <v>45642</v>
      </c>
      <c r="C233" s="1" t="n">
        <v>46201</v>
      </c>
      <c r="D233" t="inlineStr">
        <is>
          <t>VÄSTRA GÖTALANDS LÄN</t>
        </is>
      </c>
      <c r="E233" t="inlineStr">
        <is>
          <t>TÖREBODA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11730-2025</t>
        </is>
      </c>
      <c r="B234" s="1" t="n">
        <v>45727</v>
      </c>
      <c r="C234" s="1" t="n">
        <v>46201</v>
      </c>
      <c r="D234" t="inlineStr">
        <is>
          <t>VÄSTRA GÖTALANDS LÄN</t>
        </is>
      </c>
      <c r="E234" t="inlineStr">
        <is>
          <t>TÖREBODA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49088-2025</t>
        </is>
      </c>
      <c r="B235" s="1" t="n">
        <v>45937</v>
      </c>
      <c r="C235" s="1" t="n">
        <v>46201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49171-2025</t>
        </is>
      </c>
      <c r="B236" s="1" t="n">
        <v>45938</v>
      </c>
      <c r="C236" s="1" t="n">
        <v>46201</v>
      </c>
      <c r="D236" t="inlineStr">
        <is>
          <t>VÄSTRA GÖTALANDS LÄN</t>
        </is>
      </c>
      <c r="E236" t="inlineStr">
        <is>
          <t>TÖREBODA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49177-2025</t>
        </is>
      </c>
      <c r="B237" s="1" t="n">
        <v>45938</v>
      </c>
      <c r="C237" s="1" t="n">
        <v>46201</v>
      </c>
      <c r="D237" t="inlineStr">
        <is>
          <t>VÄSTRA GÖTALANDS LÄN</t>
        </is>
      </c>
      <c r="E237" t="inlineStr">
        <is>
          <t>TÖREBODA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22861-2024</t>
        </is>
      </c>
      <c r="B238" s="1" t="n">
        <v>45448</v>
      </c>
      <c r="C238" s="1" t="n">
        <v>46201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Övriga statliga verk och myndigheter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32463-2022</t>
        </is>
      </c>
      <c r="B239" s="1" t="n">
        <v>44782</v>
      </c>
      <c r="C239" s="1" t="n">
        <v>46201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49085-2025</t>
        </is>
      </c>
      <c r="B240" s="1" t="n">
        <v>45937</v>
      </c>
      <c r="C240" s="1" t="n">
        <v>46201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38987-2025</t>
        </is>
      </c>
      <c r="B241" s="1" t="n">
        <v>45888</v>
      </c>
      <c r="C241" s="1" t="n">
        <v>46201</v>
      </c>
      <c r="D241" t="inlineStr">
        <is>
          <t>VÄSTRA GÖTALANDS LÄN</t>
        </is>
      </c>
      <c r="E241" t="inlineStr">
        <is>
          <t>TÖREBODA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9109-2025</t>
        </is>
      </c>
      <c r="B242" s="1" t="n">
        <v>45713</v>
      </c>
      <c r="C242" s="1" t="n">
        <v>46201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51081-2025</t>
        </is>
      </c>
      <c r="B243" s="1" t="n">
        <v>45947</v>
      </c>
      <c r="C243" s="1" t="n">
        <v>46201</v>
      </c>
      <c r="D243" t="inlineStr">
        <is>
          <t>VÄSTRA GÖTALANDS LÄN</t>
        </is>
      </c>
      <c r="E243" t="inlineStr">
        <is>
          <t>TÖREBODA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989-2022</t>
        </is>
      </c>
      <c r="B244" s="1" t="n">
        <v>44571</v>
      </c>
      <c r="C244" s="1" t="n">
        <v>46201</v>
      </c>
      <c r="D244" t="inlineStr">
        <is>
          <t>VÄSTRA GÖTALANDS LÄN</t>
        </is>
      </c>
      <c r="E244" t="inlineStr">
        <is>
          <t>TÖREBODA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52638-2025</t>
        </is>
      </c>
      <c r="B245" s="1" t="n">
        <v>45954</v>
      </c>
      <c r="C245" s="1" t="n">
        <v>46201</v>
      </c>
      <c r="D245" t="inlineStr">
        <is>
          <t>VÄSTRA GÖTALANDS LÄN</t>
        </is>
      </c>
      <c r="E245" t="inlineStr">
        <is>
          <t>TÖREBODA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12328-2025</t>
        </is>
      </c>
      <c r="B246" s="1" t="n">
        <v>45730</v>
      </c>
      <c r="C246" s="1" t="n">
        <v>46201</v>
      </c>
      <c r="D246" t="inlineStr">
        <is>
          <t>VÄSTRA GÖTALANDS LÄN</t>
        </is>
      </c>
      <c r="E246" t="inlineStr">
        <is>
          <t>TÖREBODA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52639-2025</t>
        </is>
      </c>
      <c r="B247" s="1" t="n">
        <v>45954</v>
      </c>
      <c r="C247" s="1" t="n">
        <v>46201</v>
      </c>
      <c r="D247" t="inlineStr">
        <is>
          <t>VÄSTRA GÖTALANDS LÄN</t>
        </is>
      </c>
      <c r="E247" t="inlineStr">
        <is>
          <t>TÖREBODA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57670-2023</t>
        </is>
      </c>
      <c r="B248" s="1" t="n">
        <v>45246</v>
      </c>
      <c r="C248" s="1" t="n">
        <v>46201</v>
      </c>
      <c r="D248" t="inlineStr">
        <is>
          <t>VÄSTRA GÖTALANDS LÄN</t>
        </is>
      </c>
      <c r="E248" t="inlineStr">
        <is>
          <t>TÖREBODA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4109-2025</t>
        </is>
      </c>
      <c r="B249" s="1" t="n">
        <v>45684</v>
      </c>
      <c r="C249" s="1" t="n">
        <v>46201</v>
      </c>
      <c r="D249" t="inlineStr">
        <is>
          <t>VÄSTRA GÖTALANDS LÄN</t>
        </is>
      </c>
      <c r="E249" t="inlineStr">
        <is>
          <t>TÖREBODA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44074-2025</t>
        </is>
      </c>
      <c r="B250" s="1" t="n">
        <v>45915</v>
      </c>
      <c r="C250" s="1" t="n">
        <v>46201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43688-2025</t>
        </is>
      </c>
      <c r="B251" s="1" t="n">
        <v>45912</v>
      </c>
      <c r="C251" s="1" t="n">
        <v>46201</v>
      </c>
      <c r="D251" t="inlineStr">
        <is>
          <t>VÄSTRA GÖTALANDS LÄN</t>
        </is>
      </c>
      <c r="E251" t="inlineStr">
        <is>
          <t>TÖREBODA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54016-2025</t>
        </is>
      </c>
      <c r="B252" s="1" t="n">
        <v>45961</v>
      </c>
      <c r="C252" s="1" t="n">
        <v>46201</v>
      </c>
      <c r="D252" t="inlineStr">
        <is>
          <t>VÄSTRA GÖTALANDS LÄN</t>
        </is>
      </c>
      <c r="E252" t="inlineStr">
        <is>
          <t>TÖREBODA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51626-2023</t>
        </is>
      </c>
      <c r="B253" s="1" t="n">
        <v>45215</v>
      </c>
      <c r="C253" s="1" t="n">
        <v>46201</v>
      </c>
      <c r="D253" t="inlineStr">
        <is>
          <t>VÄSTRA GÖTALANDS LÄN</t>
        </is>
      </c>
      <c r="E253" t="inlineStr">
        <is>
          <t>TÖREBODA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25908-2025</t>
        </is>
      </c>
      <c r="B254" s="1" t="n">
        <v>45803</v>
      </c>
      <c r="C254" s="1" t="n">
        <v>46201</v>
      </c>
      <c r="D254" t="inlineStr">
        <is>
          <t>VÄSTRA GÖTALANDS LÄN</t>
        </is>
      </c>
      <c r="E254" t="inlineStr">
        <is>
          <t>TÖREBODA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4194-2024</t>
        </is>
      </c>
      <c r="B255" s="1" t="n">
        <v>45324</v>
      </c>
      <c r="C255" s="1" t="n">
        <v>46201</v>
      </c>
      <c r="D255" t="inlineStr">
        <is>
          <t>VÄSTRA GÖTALANDS LÄN</t>
        </is>
      </c>
      <c r="E255" t="inlineStr">
        <is>
          <t>TÖREBODA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30593-2024</t>
        </is>
      </c>
      <c r="B256" s="1" t="n">
        <v>45493</v>
      </c>
      <c r="C256" s="1" t="n">
        <v>46201</v>
      </c>
      <c r="D256" t="inlineStr">
        <is>
          <t>VÄSTRA GÖTALANDS LÄN</t>
        </is>
      </c>
      <c r="E256" t="inlineStr">
        <is>
          <t>TÖREBODA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14505-2024</t>
        </is>
      </c>
      <c r="B257" s="1" t="n">
        <v>45394</v>
      </c>
      <c r="C257" s="1" t="n">
        <v>46201</v>
      </c>
      <c r="D257" t="inlineStr">
        <is>
          <t>VÄSTRA GÖTALANDS LÄN</t>
        </is>
      </c>
      <c r="E257" t="inlineStr">
        <is>
          <t>TÖREBODA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21014-2024</t>
        </is>
      </c>
      <c r="B258" s="1" t="n">
        <v>45439</v>
      </c>
      <c r="C258" s="1" t="n">
        <v>46201</v>
      </c>
      <c r="D258" t="inlineStr">
        <is>
          <t>VÄSTRA GÖTALANDS LÄN</t>
        </is>
      </c>
      <c r="E258" t="inlineStr">
        <is>
          <t>TÖREBODA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48969-2023</t>
        </is>
      </c>
      <c r="B259" s="1" t="n">
        <v>45209</v>
      </c>
      <c r="C259" s="1" t="n">
        <v>46201</v>
      </c>
      <c r="D259" t="inlineStr">
        <is>
          <t>VÄSTRA GÖTALANDS LÄN</t>
        </is>
      </c>
      <c r="E259" t="inlineStr">
        <is>
          <t>TÖREBODA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58006-2024</t>
        </is>
      </c>
      <c r="B260" s="1" t="n">
        <v>45631</v>
      </c>
      <c r="C260" s="1" t="n">
        <v>46201</v>
      </c>
      <c r="D260" t="inlineStr">
        <is>
          <t>VÄSTRA GÖTALANDS LÄN</t>
        </is>
      </c>
      <c r="E260" t="inlineStr">
        <is>
          <t>TÖREBODA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45262-2025</t>
        </is>
      </c>
      <c r="B261" s="1" t="n">
        <v>45919</v>
      </c>
      <c r="C261" s="1" t="n">
        <v>46201</v>
      </c>
      <c r="D261" t="inlineStr">
        <is>
          <t>VÄSTRA GÖTALANDS LÄN</t>
        </is>
      </c>
      <c r="E261" t="inlineStr">
        <is>
          <t>TÖREBODA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57225-2021</t>
        </is>
      </c>
      <c r="B262" s="1" t="n">
        <v>44483</v>
      </c>
      <c r="C262" s="1" t="n">
        <v>46201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55593-2025</t>
        </is>
      </c>
      <c r="B263" s="1" t="n">
        <v>45971</v>
      </c>
      <c r="C263" s="1" t="n">
        <v>46201</v>
      </c>
      <c r="D263" t="inlineStr">
        <is>
          <t>VÄSTRA GÖTALANDS LÄN</t>
        </is>
      </c>
      <c r="E263" t="inlineStr">
        <is>
          <t>TÖREBODA</t>
        </is>
      </c>
      <c r="G263" t="n">
        <v>20.8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46135-2025</t>
        </is>
      </c>
      <c r="B264" s="1" t="n">
        <v>45924</v>
      </c>
      <c r="C264" s="1" t="n">
        <v>46201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55729-2025</t>
        </is>
      </c>
      <c r="B265" s="1" t="n">
        <v>45972</v>
      </c>
      <c r="C265" s="1" t="n">
        <v>46201</v>
      </c>
      <c r="D265" t="inlineStr">
        <is>
          <t>VÄSTRA GÖTALANDS LÄN</t>
        </is>
      </c>
      <c r="E265" t="inlineStr">
        <is>
          <t>TÖREBODA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55652-2025</t>
        </is>
      </c>
      <c r="B266" s="1" t="n">
        <v>45972</v>
      </c>
      <c r="C266" s="1" t="n">
        <v>46201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46972-2025</t>
        </is>
      </c>
      <c r="B267" s="1" t="n">
        <v>45929</v>
      </c>
      <c r="C267" s="1" t="n">
        <v>46201</v>
      </c>
      <c r="D267" t="inlineStr">
        <is>
          <t>VÄSTRA GÖTALANDS LÄN</t>
        </is>
      </c>
      <c r="E267" t="inlineStr">
        <is>
          <t>TÖREBODA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55656-2025</t>
        </is>
      </c>
      <c r="B268" s="1" t="n">
        <v>45972</v>
      </c>
      <c r="C268" s="1" t="n">
        <v>46201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55669-2025</t>
        </is>
      </c>
      <c r="B269" s="1" t="n">
        <v>45972</v>
      </c>
      <c r="C269" s="1" t="n">
        <v>46201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55766-2025</t>
        </is>
      </c>
      <c r="B270" s="1" t="n">
        <v>45972</v>
      </c>
      <c r="C270" s="1" t="n">
        <v>46201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55648-2025</t>
        </is>
      </c>
      <c r="B271" s="1" t="n">
        <v>45972</v>
      </c>
      <c r="C271" s="1" t="n">
        <v>46201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43559-2024</t>
        </is>
      </c>
      <c r="B272" s="1" t="n">
        <v>45569</v>
      </c>
      <c r="C272" s="1" t="n">
        <v>46201</v>
      </c>
      <c r="D272" t="inlineStr">
        <is>
          <t>VÄSTRA GÖTALANDS LÄN</t>
        </is>
      </c>
      <c r="E272" t="inlineStr">
        <is>
          <t>TÖREBODA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18690-2025</t>
        </is>
      </c>
      <c r="B273" s="1" t="n">
        <v>45763</v>
      </c>
      <c r="C273" s="1" t="n">
        <v>46201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56131-2025</t>
        </is>
      </c>
      <c r="B274" s="1" t="n">
        <v>45974</v>
      </c>
      <c r="C274" s="1" t="n">
        <v>46201</v>
      </c>
      <c r="D274" t="inlineStr">
        <is>
          <t>VÄSTRA GÖTALANDS LÄN</t>
        </is>
      </c>
      <c r="E274" t="inlineStr">
        <is>
          <t>TÖREBODA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56132-2025</t>
        </is>
      </c>
      <c r="B275" s="1" t="n">
        <v>45974</v>
      </c>
      <c r="C275" s="1" t="n">
        <v>46201</v>
      </c>
      <c r="D275" t="inlineStr">
        <is>
          <t>VÄSTRA GÖTALANDS LÄN</t>
        </is>
      </c>
      <c r="E275" t="inlineStr">
        <is>
          <t>TÖREBODA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48734-2024</t>
        </is>
      </c>
      <c r="B276" s="1" t="n">
        <v>45593</v>
      </c>
      <c r="C276" s="1" t="n">
        <v>46201</v>
      </c>
      <c r="D276" t="inlineStr">
        <is>
          <t>VÄSTRA GÖTALANDS LÄN</t>
        </is>
      </c>
      <c r="E276" t="inlineStr">
        <is>
          <t>TÖREBODA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62980-2025</t>
        </is>
      </c>
      <c r="B277" s="1" t="n">
        <v>46009</v>
      </c>
      <c r="C277" s="1" t="n">
        <v>46201</v>
      </c>
      <c r="D277" t="inlineStr">
        <is>
          <t>VÄSTRA GÖTALANDS LÄN</t>
        </is>
      </c>
      <c r="E277" t="inlineStr">
        <is>
          <t>TÖREBODA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63133-2025</t>
        </is>
      </c>
      <c r="B278" s="1" t="n">
        <v>46010</v>
      </c>
      <c r="C278" s="1" t="n">
        <v>46201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97-2026</t>
        </is>
      </c>
      <c r="B279" s="1" t="n">
        <v>46017</v>
      </c>
      <c r="C279" s="1" t="n">
        <v>46201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6970-2026</t>
        </is>
      </c>
      <c r="B280" s="1" t="n">
        <v>46057</v>
      </c>
      <c r="C280" s="1" t="n">
        <v>46201</v>
      </c>
      <c r="D280" t="inlineStr">
        <is>
          <t>VÄSTRA GÖTALANDS LÄN</t>
        </is>
      </c>
      <c r="E280" t="inlineStr">
        <is>
          <t>TÖREBODA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8965-2025</t>
        </is>
      </c>
      <c r="B281" s="1" t="n">
        <v>45713</v>
      </c>
      <c r="C281" s="1" t="n">
        <v>46201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7860-2026</t>
        </is>
      </c>
      <c r="B282" s="1" t="n">
        <v>46062</v>
      </c>
      <c r="C282" s="1" t="n">
        <v>46201</v>
      </c>
      <c r="D282" t="inlineStr">
        <is>
          <t>VÄSTRA GÖTALANDS LÄN</t>
        </is>
      </c>
      <c r="E282" t="inlineStr">
        <is>
          <t>TÖREBODA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10818-2026</t>
        </is>
      </c>
      <c r="B283" s="1" t="n">
        <v>46078</v>
      </c>
      <c r="C283" s="1" t="n">
        <v>46201</v>
      </c>
      <c r="D283" t="inlineStr">
        <is>
          <t>VÄSTRA GÖTALANDS LÄN</t>
        </is>
      </c>
      <c r="E283" t="inlineStr">
        <is>
          <t>TÖREBODA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11587-2026</t>
        </is>
      </c>
      <c r="B284" s="1" t="n">
        <v>46084</v>
      </c>
      <c r="C284" s="1" t="n">
        <v>46201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Kyrkan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11863-2026</t>
        </is>
      </c>
      <c r="B285" s="1" t="n">
        <v>46085</v>
      </c>
      <c r="C285" s="1" t="n">
        <v>46201</v>
      </c>
      <c r="D285" t="inlineStr">
        <is>
          <t>VÄSTRA GÖTALANDS LÄN</t>
        </is>
      </c>
      <c r="E285" t="inlineStr">
        <is>
          <t>TÖREBODA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14557-2026</t>
        </is>
      </c>
      <c r="B286" s="1" t="n">
        <v>46100</v>
      </c>
      <c r="C286" s="1" t="n">
        <v>46201</v>
      </c>
      <c r="D286" t="inlineStr">
        <is>
          <t>VÄSTRA GÖTALANDS LÄN</t>
        </is>
      </c>
      <c r="E286" t="inlineStr">
        <is>
          <t>TÖREBODA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15567-2026</t>
        </is>
      </c>
      <c r="B287" s="1" t="n">
        <v>46106</v>
      </c>
      <c r="C287" s="1" t="n">
        <v>46201</v>
      </c>
      <c r="D287" t="inlineStr">
        <is>
          <t>VÄSTRA GÖTALANDS LÄN</t>
        </is>
      </c>
      <c r="E287" t="inlineStr">
        <is>
          <t>TÖREBODA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16200-2026</t>
        </is>
      </c>
      <c r="B288" s="1" t="n">
        <v>46111</v>
      </c>
      <c r="C288" s="1" t="n">
        <v>46201</v>
      </c>
      <c r="D288" t="inlineStr">
        <is>
          <t>VÄSTRA GÖTALANDS LÄN</t>
        </is>
      </c>
      <c r="E288" t="inlineStr">
        <is>
          <t>TÖREBODA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14555-2026</t>
        </is>
      </c>
      <c r="B289" s="1" t="n">
        <v>46100</v>
      </c>
      <c r="C289" s="1" t="n">
        <v>46201</v>
      </c>
      <c r="D289" t="inlineStr">
        <is>
          <t>VÄSTRA GÖTALANDS LÄN</t>
        </is>
      </c>
      <c r="E289" t="inlineStr">
        <is>
          <t>TÖREBODA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17895-2026</t>
        </is>
      </c>
      <c r="B290" s="1" t="n">
        <v>46122</v>
      </c>
      <c r="C290" s="1" t="n">
        <v>46201</v>
      </c>
      <c r="D290" t="inlineStr">
        <is>
          <t>VÄSTRA GÖTALANDS LÄN</t>
        </is>
      </c>
      <c r="E290" t="inlineStr">
        <is>
          <t>TÖREBODA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19706-2026</t>
        </is>
      </c>
      <c r="B291" s="1" t="n">
        <v>46134</v>
      </c>
      <c r="C291" s="1" t="n">
        <v>46201</v>
      </c>
      <c r="D291" t="inlineStr">
        <is>
          <t>VÄSTRA GÖTALANDS LÄN</t>
        </is>
      </c>
      <c r="E291" t="inlineStr">
        <is>
          <t>TÖREBODA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19685-2026</t>
        </is>
      </c>
      <c r="B292" s="1" t="n">
        <v>46134</v>
      </c>
      <c r="C292" s="1" t="n">
        <v>46201</v>
      </c>
      <c r="D292" t="inlineStr">
        <is>
          <t>VÄSTRA GÖTALANDS LÄN</t>
        </is>
      </c>
      <c r="E292" t="inlineStr">
        <is>
          <t>TÖREBODA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16265-2025</t>
        </is>
      </c>
      <c r="B293" s="1" t="n">
        <v>45750</v>
      </c>
      <c r="C293" s="1" t="n">
        <v>46201</v>
      </c>
      <c r="D293" t="inlineStr">
        <is>
          <t>VÄSTRA GÖTALANDS LÄN</t>
        </is>
      </c>
      <c r="E293" t="inlineStr">
        <is>
          <t>TÖREBODA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20471-2026</t>
        </is>
      </c>
      <c r="B294" s="1" t="n">
        <v>46140</v>
      </c>
      <c r="C294" s="1" t="n">
        <v>46201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54621-2021</t>
        </is>
      </c>
      <c r="B295" s="1" t="n">
        <v>44473</v>
      </c>
      <c r="C295" s="1" t="n">
        <v>46201</v>
      </c>
      <c r="D295" t="inlineStr">
        <is>
          <t>VÄSTRA GÖTALANDS LÄN</t>
        </is>
      </c>
      <c r="E295" t="inlineStr">
        <is>
          <t>TÖREBODA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21187-2026</t>
        </is>
      </c>
      <c r="B296" s="1" t="n">
        <v>46146</v>
      </c>
      <c r="C296" s="1" t="n">
        <v>46201</v>
      </c>
      <c r="D296" t="inlineStr">
        <is>
          <t>VÄSTRA GÖTALANDS LÄN</t>
        </is>
      </c>
      <c r="E296" t="inlineStr">
        <is>
          <t>TÖREBODA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24161-2026</t>
        </is>
      </c>
      <c r="B297" s="1" t="n">
        <v>46168</v>
      </c>
      <c r="C297" s="1" t="n">
        <v>46201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24160-2026</t>
        </is>
      </c>
      <c r="B298" s="1" t="n">
        <v>46168</v>
      </c>
      <c r="C298" s="1" t="n">
        <v>46201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21966-2026</t>
        </is>
      </c>
      <c r="B299" s="1" t="n">
        <v>46152</v>
      </c>
      <c r="C299" s="1" t="n">
        <v>46201</v>
      </c>
      <c r="D299" t="inlineStr">
        <is>
          <t>VÄSTRA GÖTALANDS LÄN</t>
        </is>
      </c>
      <c r="E299" t="inlineStr">
        <is>
          <t>TÖREBODA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21967-2026</t>
        </is>
      </c>
      <c r="B300" s="1" t="n">
        <v>46152</v>
      </c>
      <c r="C300" s="1" t="n">
        <v>46201</v>
      </c>
      <c r="D300" t="inlineStr">
        <is>
          <t>VÄSTRA GÖTALANDS LÄN</t>
        </is>
      </c>
      <c r="E300" t="inlineStr">
        <is>
          <t>TÖREBODA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21968-2026</t>
        </is>
      </c>
      <c r="B301" s="1" t="n">
        <v>46152</v>
      </c>
      <c r="C301" s="1" t="n">
        <v>46201</v>
      </c>
      <c r="D301" t="inlineStr">
        <is>
          <t>VÄSTRA GÖTALANDS LÄN</t>
        </is>
      </c>
      <c r="E301" t="inlineStr">
        <is>
          <t>TÖREBODA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21961-2026</t>
        </is>
      </c>
      <c r="B302" s="1" t="n">
        <v>46152</v>
      </c>
      <c r="C302" s="1" t="n">
        <v>46201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21962-2026</t>
        </is>
      </c>
      <c r="B303" s="1" t="n">
        <v>46152</v>
      </c>
      <c r="C303" s="1" t="n">
        <v>46201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21965-2026</t>
        </is>
      </c>
      <c r="B304" s="1" t="n">
        <v>46152</v>
      </c>
      <c r="C304" s="1" t="n">
        <v>46201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21964-2026</t>
        </is>
      </c>
      <c r="B305" s="1" t="n">
        <v>46152</v>
      </c>
      <c r="C305" s="1" t="n">
        <v>46201</v>
      </c>
      <c r="D305" t="inlineStr">
        <is>
          <t>VÄSTRA GÖTALANDS LÄN</t>
        </is>
      </c>
      <c r="E305" t="inlineStr">
        <is>
          <t>TÖREBODA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21963-2026</t>
        </is>
      </c>
      <c r="B306" s="1" t="n">
        <v>46152</v>
      </c>
      <c r="C306" s="1" t="n">
        <v>46201</v>
      </c>
      <c r="D306" t="inlineStr">
        <is>
          <t>VÄSTRA GÖTALANDS LÄN</t>
        </is>
      </c>
      <c r="E306" t="inlineStr">
        <is>
          <t>TÖREBODA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1981-2025</t>
        </is>
      </c>
      <c r="B307" s="1" t="n">
        <v>45665</v>
      </c>
      <c r="C307" s="1" t="n">
        <v>46201</v>
      </c>
      <c r="D307" t="inlineStr">
        <is>
          <t>VÄSTRA GÖTALANDS LÄN</t>
        </is>
      </c>
      <c r="E307" t="inlineStr">
        <is>
          <t>TÖREBODA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55596-2025</t>
        </is>
      </c>
      <c r="B308" s="1" t="n">
        <v>45971</v>
      </c>
      <c r="C308" s="1" t="n">
        <v>46201</v>
      </c>
      <c r="D308" t="inlineStr">
        <is>
          <t>VÄSTRA GÖTALANDS LÄN</t>
        </is>
      </c>
      <c r="E308" t="inlineStr">
        <is>
          <t>TÖREBODA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2026-06-28T00:54:10Z</dcterms:created>
  <dcterms:modified xmlns:dcterms="http://purl.org/dc/terms/" xmlns:xsi="http://www.w3.org/2001/XMLSchema-instance" xsi:type="dcterms:W3CDTF">2026-06-28T00:54:11Z</dcterms:modified>
</cp:coreProperties>
</file>