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46305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46305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46305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46305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46305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46305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46305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46305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46305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46305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61281-2023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45264</v>
      </c>
      <c r="E16" s="1" t="n">
        <v>46305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Kyrkan</t>
        </is>
      </c>
      <c r="I16" t="n">
        <v>20.8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Vanlig snok</t>
        </is>
      </c>
      <c r="W16">
        <f>HYPERLINK("https://klasma.github.io/Logging_1473/artfynd/A 61281-2023 artfynd.xlsx", "A 61281-2023")</f>
        <v/>
      </c>
      <c r="X16">
        <f>HYPERLINK("https://klasma.github.io/Logging_1473/kartor/A 61281-2023 karta.png", "A 61281-2023")</f>
        <v/>
      </c>
      <c r="Y16">
        <f>HYPERLINK("https://klasma.github.io/Logging_1473/kartor_geotiff/A 61281-2023 georefererad karta.tif", "A 61281-2023")</f>
        <v/>
      </c>
      <c r="AA16">
        <f>HYPERLINK("https://klasma.github.io/Logging_1473/klagomål/A 61281-2023 FSC-klagomål.docx", "A 61281-2023")</f>
        <v/>
      </c>
      <c r="AB16">
        <f>HYPERLINK("https://klasma.github.io/Logging_1473/klagomålsmail/A 61281-2023 FSC-klagomål mail.docx", "A 61281-2023")</f>
        <v/>
      </c>
      <c r="AC16">
        <f>HYPERLINK("https://klasma.github.io/Logging_1473/tillsyn/A 61281-2023 tillsynsbegäran.docx", "A 61281-2023")</f>
        <v/>
      </c>
      <c r="AD16">
        <f>HYPERLINK("https://klasma.github.io/Logging_1473/tillsynsmail/A 61281-2023 tillsynsbegäran mail.docx", "A 61281-2023")</f>
        <v/>
      </c>
      <c r="AE16">
        <f>HYPERLINK("https://klasma.github.io/Logging_1473/fåglar/A 61281-2023 prioriterade fågelarter.docx", "A 61281-2023")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46305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46305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46305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46305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46305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46305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46305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12168-2025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46305</v>
      </c>
      <c r="F24" t="inlineStr">
        <is>
          <t>VÄSTRA GÖTALANDS LÄN</t>
        </is>
      </c>
      <c r="G24" t="inlineStr">
        <is>
          <t>TÖREBODA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HYPERLINK("https://klasma.github.io/Logging_1473/artfynd/A 12168-2025 artfynd.xlsx", "A 12168-2025")</f>
        <v/>
      </c>
      <c r="X24">
        <f>HYPERLINK("https://klasma.github.io/Logging_1473/kartor/A 12168-2025 karta.png", "A 12168-2025")</f>
        <v/>
      </c>
      <c r="Y24">
        <f>HYPERLINK("https://klasma.github.io/Logging_1473/kartor_geotiff/A 12168-2025 georefererad karta.tif", "A 12168-2025")</f>
        <v/>
      </c>
      <c r="AA24">
        <f>HYPERLINK("https://klasma.github.io/Logging_1473/klagomål/A 12168-2025 FSC-klagomål.docx", "A 12168-2025")</f>
        <v/>
      </c>
      <c r="AB24">
        <f>HYPERLINK("https://klasma.github.io/Logging_1473/klagomålsmail/A 12168-2025 FSC-klagomål mail.docx", "A 12168-2025")</f>
        <v/>
      </c>
      <c r="AC24">
        <f>HYPERLINK("https://klasma.github.io/Logging_1473/tillsyn/A 12168-2025 tillsynsbegäran.docx", "A 12168-2025")</f>
        <v/>
      </c>
      <c r="AD24">
        <f>HYPERLINK("https://klasma.github.io/Logging_1473/tillsynsmail/A 12168-2025 tillsynsbegäran mail.docx", "A 12168-2025")</f>
        <v/>
      </c>
      <c r="AE24">
        <f>HYPERLINK("https://klasma.github.io/Logging_1473/fåglar/A 12168-2025 prioriterade fågelarter.docx", "A 12168-2025")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46305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46305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46305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17540-2025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46305</v>
      </c>
      <c r="F28" t="inlineStr">
        <is>
          <t>VÄSTRA GÖTALANDS LÄN</t>
        </is>
      </c>
      <c r="G28" t="inlineStr">
        <is>
          <t>TÖREBODA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Vattenfladdermus</t>
        </is>
      </c>
      <c r="W28">
        <f>HYPERLINK("https://klasma.github.io/Logging_1473/artfynd/A 17540-2025 artfynd.xlsx", "A 17540-2025")</f>
        <v/>
      </c>
      <c r="X28">
        <f>HYPERLINK("https://klasma.github.io/Logging_1473/kartor/A 17540-2025 karta.png", "A 17540-2025")</f>
        <v/>
      </c>
      <c r="Y28">
        <f>HYPERLINK("https://klasma.github.io/Logging_1473/kartor_geotiff/A 17540-2025 georefererad karta.tif", "A 17540-2025")</f>
        <v/>
      </c>
      <c r="AA28">
        <f>HYPERLINK("https://klasma.github.io/Logging_1473/klagomål/A 17540-2025 FSC-klagomål.docx", "A 17540-2025")</f>
        <v/>
      </c>
      <c r="AB28">
        <f>HYPERLINK("https://klasma.github.io/Logging_1473/klagomålsmail/A 17540-2025 FSC-klagomål mail.docx", "A 17540-2025")</f>
        <v/>
      </c>
      <c r="AC28">
        <f>HYPERLINK("https://klasma.github.io/Logging_1473/tillsyn/A 17540-2025 tillsynsbegäran.docx", "A 17540-2025")</f>
        <v/>
      </c>
      <c r="AD28">
        <f>HYPERLINK("https://klasma.github.io/Logging_1473/tillsynsmail/A 17540-2025 tillsynsbegäran mail.docx", "A 17540-2025")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46305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14755-2025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45742</v>
      </c>
      <c r="E30" s="1" t="n">
        <v>46305</v>
      </c>
      <c r="F30" t="inlineStr">
        <is>
          <t>VÄSTRA GÖTALANDS LÄN</t>
        </is>
      </c>
      <c r="G30" t="inlineStr">
        <is>
          <t>TÖREBODA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Mattlummer</t>
        </is>
      </c>
      <c r="W30">
        <f>HYPERLINK("https://klasma.github.io/Logging_1473/artfynd/A 14755-2025 artfynd.xlsx", "A 14755-2025")</f>
        <v/>
      </c>
      <c r="X30">
        <f>HYPERLINK("https://klasma.github.io/Logging_1473/kartor/A 14755-2025 karta.png", "A 14755-2025")</f>
        <v/>
      </c>
      <c r="Y30">
        <f>HYPERLINK("https://klasma.github.io/Logging_1473/kartor_geotiff/A 14755-2025 georefererad karta.tif", "A 14755-2025")</f>
        <v/>
      </c>
      <c r="AA30">
        <f>HYPERLINK("https://klasma.github.io/Logging_1473/klagomål/A 14755-2025 FSC-klagomål.docx", "A 14755-2025")</f>
        <v/>
      </c>
      <c r="AB30">
        <f>HYPERLINK("https://klasma.github.io/Logging_1473/klagomålsmail/A 14755-2025 FSC-klagomål mail.docx", "A 14755-2025")</f>
        <v/>
      </c>
      <c r="AC30">
        <f>HYPERLINK("https://klasma.github.io/Logging_1473/tillsyn/A 14755-2025 tillsynsbegäran.docx", "A 14755-2025")</f>
        <v/>
      </c>
      <c r="AD30">
        <f>HYPERLINK("https://klasma.github.io/Logging_1473/tillsynsmail/A 14755-2025 tillsynsbegäran mail.docx", "A 14755-2025")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46305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46305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46305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46305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46305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46305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46305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46305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46305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46305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46305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46305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46305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46305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46305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46305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46305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46305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46305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46305</v>
      </c>
      <c r="F51" t="inlineStr">
        <is>
          <t>VÄSTRA GÖTALANDS LÄN</t>
        </is>
      </c>
      <c r="G51" t="inlineStr">
        <is>
          <t>TÖREBODA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46305</v>
      </c>
      <c r="F52" t="inlineStr">
        <is>
          <t>VÄSTRA GÖTALANDS LÄN</t>
        </is>
      </c>
      <c r="G52" t="inlineStr">
        <is>
          <t>TÖREBODA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46305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44614</v>
      </c>
      <c r="E54" s="1" t="n">
        <v>46305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Kyrkan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46305</v>
      </c>
      <c r="F55" t="inlineStr">
        <is>
          <t>VÄSTRA GÖTALANDS LÄN</t>
        </is>
      </c>
      <c r="G55" t="inlineStr">
        <is>
          <t>TÖREBODA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46305</v>
      </c>
      <c r="F56" t="inlineStr">
        <is>
          <t>VÄSTRA GÖTALANDS LÄN</t>
        </is>
      </c>
      <c r="G56" t="inlineStr">
        <is>
          <t>TÖREBODA</t>
        </is>
      </c>
      <c r="H56" t="inlineStr">
        <is>
          <t>Kyrkan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69817-2021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46305</v>
      </c>
      <c r="F57" t="inlineStr">
        <is>
          <t>VÄSTRA GÖTALANDS LÄN</t>
        </is>
      </c>
      <c r="G57" t="inlineStr">
        <is>
          <t>TÖREBODA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44579</v>
      </c>
      <c r="E58" s="1" t="n">
        <v>46305</v>
      </c>
      <c r="F58" t="inlineStr">
        <is>
          <t>VÄSTRA GÖTALANDS LÄN</t>
        </is>
      </c>
      <c r="G58" t="inlineStr">
        <is>
          <t>TÖREBODA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46305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46305</v>
      </c>
      <c r="F60" t="inlineStr">
        <is>
          <t>VÄSTRA GÖTALANDS LÄN</t>
        </is>
      </c>
      <c r="G60" t="inlineStr">
        <is>
          <t>TÖREBODA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44754</v>
      </c>
      <c r="E61" s="1" t="n">
        <v>46305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46305</v>
      </c>
      <c r="F62" t="inlineStr">
        <is>
          <t>VÄSTRA GÖTALANDS LÄN</t>
        </is>
      </c>
      <c r="G62" t="inlineStr">
        <is>
          <t>TÖREBODA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46305</v>
      </c>
      <c r="F63" t="inlineStr">
        <is>
          <t>VÄSTRA GÖTALANDS LÄN</t>
        </is>
      </c>
      <c r="G63" t="inlineStr">
        <is>
          <t>TÖREBODA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45209</v>
      </c>
      <c r="E64" s="1" t="n">
        <v>46305</v>
      </c>
      <c r="F64" t="inlineStr">
        <is>
          <t>VÄSTRA GÖTALANDS LÄN</t>
        </is>
      </c>
      <c r="G64" t="inlineStr">
        <is>
          <t>TÖREBODA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45096</v>
      </c>
      <c r="E65" s="1" t="n">
        <v>46305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Övriga statliga verk och myndigheter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46305</v>
      </c>
      <c r="F66" t="inlineStr">
        <is>
          <t>VÄSTRA GÖTALANDS LÄN</t>
        </is>
      </c>
      <c r="G66" t="inlineStr">
        <is>
          <t>TÖREBODA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46305</v>
      </c>
      <c r="F67" t="inlineStr">
        <is>
          <t>VÄSTRA GÖTALANDS LÄN</t>
        </is>
      </c>
      <c r="G67" t="inlineStr">
        <is>
          <t>TÖREBODA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46305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46305</v>
      </c>
      <c r="F69" t="inlineStr">
        <is>
          <t>VÄSTRA GÖTALANDS LÄN</t>
        </is>
      </c>
      <c r="G69" t="inlineStr">
        <is>
          <t>TÖREBODA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56831-2022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44894</v>
      </c>
      <c r="E70" s="1" t="n">
        <v>46305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46305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Övriga statliga verk och myndigheter</t>
        </is>
      </c>
      <c r="I71" t="n">
        <v>12.6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46305</v>
      </c>
      <c r="F72" t="inlineStr">
        <is>
          <t>VÄSTRA GÖTALANDS LÄN</t>
        </is>
      </c>
      <c r="G72" t="inlineStr">
        <is>
          <t>TÖREBODA</t>
        </is>
      </c>
      <c r="I72" t="n">
        <v>23.8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46305</v>
      </c>
      <c r="F73" t="inlineStr">
        <is>
          <t>VÄSTRA GÖTALANDS LÄN</t>
        </is>
      </c>
      <c r="G73" t="inlineStr">
        <is>
          <t>TÖREBODA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46305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46305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45460</v>
      </c>
      <c r="E76" s="1" t="n">
        <v>46305</v>
      </c>
      <c r="F76" t="inlineStr">
        <is>
          <t>VÄSTRA GÖTALANDS LÄN</t>
        </is>
      </c>
      <c r="G76" t="inlineStr">
        <is>
          <t>TÖREBODA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45450</v>
      </c>
      <c r="E77" s="1" t="n">
        <v>46305</v>
      </c>
      <c r="F77" t="inlineStr">
        <is>
          <t>VÄSTRA GÖTALANDS LÄN</t>
        </is>
      </c>
      <c r="G77" t="inlineStr">
        <is>
          <t>TÖREBODA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46305</v>
      </c>
      <c r="F78" t="inlineStr">
        <is>
          <t>VÄSTRA GÖTALANDS LÄN</t>
        </is>
      </c>
      <c r="G78" t="inlineStr">
        <is>
          <t>TÖREBODA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46305</v>
      </c>
      <c r="F79" t="inlineStr">
        <is>
          <t>VÄSTRA GÖTALANDS LÄN</t>
        </is>
      </c>
      <c r="G79" t="inlineStr">
        <is>
          <t>TÖREBODA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45443</v>
      </c>
      <c r="E80" s="1" t="n">
        <v>46305</v>
      </c>
      <c r="F80" t="inlineStr">
        <is>
          <t>VÄSTRA GÖTALANDS LÄN</t>
        </is>
      </c>
      <c r="G80" t="inlineStr">
        <is>
          <t>TÖREBODA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46305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46305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46305</v>
      </c>
      <c r="F83" t="inlineStr">
        <is>
          <t>VÄSTRA GÖTALANDS LÄN</t>
        </is>
      </c>
      <c r="G83" t="inlineStr">
        <is>
          <t>TÖREBODA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46305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46305</v>
      </c>
      <c r="F85" t="inlineStr">
        <is>
          <t>VÄSTRA GÖTALANDS LÄN</t>
        </is>
      </c>
      <c r="G85" t="inlineStr">
        <is>
          <t>TÖREBODA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45457</v>
      </c>
      <c r="E86" s="1" t="n">
        <v>46305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Övriga statliga verk och myndigheter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41627-2022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44827</v>
      </c>
      <c r="E87" s="1" t="n">
        <v>46305</v>
      </c>
      <c r="F87" t="inlineStr">
        <is>
          <t>VÄSTRA GÖTALANDS LÄN</t>
        </is>
      </c>
      <c r="G87" t="inlineStr">
        <is>
          <t>TÖREBODA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41632-2022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44827</v>
      </c>
      <c r="E88" s="1" t="n">
        <v>46305</v>
      </c>
      <c r="F88" t="inlineStr">
        <is>
          <t>VÄSTRA GÖTALANDS LÄN</t>
        </is>
      </c>
      <c r="G88" t="inlineStr">
        <is>
          <t>TÖREBODA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46305</v>
      </c>
      <c r="F89" t="inlineStr">
        <is>
          <t>VÄSTRA GÖTALANDS LÄN</t>
        </is>
      </c>
      <c r="G89" t="inlineStr">
        <is>
          <t>TÖREBODA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46305</v>
      </c>
      <c r="F90" t="inlineStr">
        <is>
          <t>VÄSTRA GÖTALANDS LÄN</t>
        </is>
      </c>
      <c r="G90" t="inlineStr">
        <is>
          <t>TÖREBODA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46305</v>
      </c>
      <c r="F91" t="inlineStr">
        <is>
          <t>VÄSTRA GÖTALANDS LÄN</t>
        </is>
      </c>
      <c r="G91" t="inlineStr">
        <is>
          <t>TÖREBODA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46305</v>
      </c>
      <c r="F92" t="inlineStr">
        <is>
          <t>VÄSTRA GÖTALANDS LÄN</t>
        </is>
      </c>
      <c r="G92" t="inlineStr">
        <is>
          <t>TÖREBODA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46305</v>
      </c>
      <c r="F93" t="inlineStr">
        <is>
          <t>VÄSTRA GÖTALANDS LÄN</t>
        </is>
      </c>
      <c r="G93" t="inlineStr">
        <is>
          <t>TÖREBODA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46305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46305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46305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45309</v>
      </c>
      <c r="E97" s="1" t="n">
        <v>46305</v>
      </c>
      <c r="F97" t="inlineStr">
        <is>
          <t>VÄSTRA GÖTALANDS LÄN</t>
        </is>
      </c>
      <c r="G97" t="inlineStr">
        <is>
          <t>TÖREBODA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46305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46305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46305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46305</v>
      </c>
      <c r="F101" t="inlineStr">
        <is>
          <t>VÄSTRA GÖTALANDS LÄN</t>
        </is>
      </c>
      <c r="G101" t="inlineStr">
        <is>
          <t>TÖREBODA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45885</v>
      </c>
      <c r="E102" s="1" t="n">
        <v>46305</v>
      </c>
      <c r="F102" t="inlineStr">
        <is>
          <t>VÄSTRA GÖTALANDS LÄN</t>
        </is>
      </c>
      <c r="G102" t="inlineStr">
        <is>
          <t>TÖREBODA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46305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46305</v>
      </c>
      <c r="F104" t="inlineStr">
        <is>
          <t>VÄSTRA GÖTALANDS LÄN</t>
        </is>
      </c>
      <c r="G104" t="inlineStr">
        <is>
          <t>TÖREBODA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46305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45885</v>
      </c>
      <c r="E106" s="1" t="n">
        <v>46305</v>
      </c>
      <c r="F106" t="inlineStr">
        <is>
          <t>VÄSTRA GÖTALANDS LÄN</t>
        </is>
      </c>
      <c r="G106" t="inlineStr">
        <is>
          <t>TÖREBODA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46305</v>
      </c>
      <c r="F107" t="inlineStr">
        <is>
          <t>VÄSTRA GÖTALANDS LÄN</t>
        </is>
      </c>
      <c r="G107" t="inlineStr">
        <is>
          <t>TÖREBODA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46305</v>
      </c>
      <c r="F108" t="inlineStr">
        <is>
          <t>VÄSTRA GÖTALANDS LÄN</t>
        </is>
      </c>
      <c r="G108" t="inlineStr">
        <is>
          <t>TÖREBODA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46305</v>
      </c>
      <c r="F109" t="inlineStr">
        <is>
          <t>VÄSTRA GÖTALANDS LÄN</t>
        </is>
      </c>
      <c r="G109" t="inlineStr">
        <is>
          <t>TÖREBODA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46305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46305</v>
      </c>
      <c r="F111" t="inlineStr">
        <is>
          <t>VÄSTRA GÖTALANDS LÄN</t>
        </is>
      </c>
      <c r="G111" t="inlineStr">
        <is>
          <t>TÖREBODA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46305</v>
      </c>
      <c r="F112" t="inlineStr">
        <is>
          <t>VÄSTRA GÖTALANDS LÄN</t>
        </is>
      </c>
      <c r="G112" t="inlineStr">
        <is>
          <t>TÖREBODA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46305</v>
      </c>
      <c r="F113" t="inlineStr">
        <is>
          <t>VÄSTRA GÖTALANDS LÄN</t>
        </is>
      </c>
      <c r="G113" t="inlineStr">
        <is>
          <t>TÖREBODA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46305</v>
      </c>
      <c r="F114" t="inlineStr">
        <is>
          <t>VÄSTRA GÖTALANDS LÄN</t>
        </is>
      </c>
      <c r="G114" t="inlineStr">
        <is>
          <t>TÖREBODA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46305</v>
      </c>
      <c r="F115" t="inlineStr">
        <is>
          <t>VÄSTRA GÖTALANDS LÄN</t>
        </is>
      </c>
      <c r="G115" t="inlineStr">
        <is>
          <t>TÖREBODA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45414</v>
      </c>
      <c r="E116" s="1" t="n">
        <v>46305</v>
      </c>
      <c r="F116" t="inlineStr">
        <is>
          <t>VÄSTRA GÖTALANDS LÄN</t>
        </is>
      </c>
      <c r="G116" t="inlineStr">
        <is>
          <t>TÖREBODA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46305</v>
      </c>
      <c r="F117" t="inlineStr">
        <is>
          <t>VÄSTRA GÖTALANDS LÄN</t>
        </is>
      </c>
      <c r="G117" t="inlineStr">
        <is>
          <t>TÖREBODA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46305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44907</v>
      </c>
      <c r="E119" s="1" t="n">
        <v>46305</v>
      </c>
      <c r="F119" t="inlineStr">
        <is>
          <t>VÄSTRA GÖTALANDS LÄN</t>
        </is>
      </c>
      <c r="G119" t="inlineStr">
        <is>
          <t>TÖREBODA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46305</v>
      </c>
      <c r="F120" t="inlineStr">
        <is>
          <t>VÄSTRA GÖTALANDS LÄN</t>
        </is>
      </c>
      <c r="G120" t="inlineStr">
        <is>
          <t>TÖREBODA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46305</v>
      </c>
      <c r="F121" t="inlineStr">
        <is>
          <t>VÄSTRA GÖTALANDS LÄN</t>
        </is>
      </c>
      <c r="G121" t="inlineStr">
        <is>
          <t>TÖREBODA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46305</v>
      </c>
      <c r="F122" t="inlineStr">
        <is>
          <t>VÄSTRA GÖTALANDS LÄN</t>
        </is>
      </c>
      <c r="G122" t="inlineStr">
        <is>
          <t>TÖREBODA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46305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20976-2025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46305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46305</v>
      </c>
      <c r="F125" t="inlineStr">
        <is>
          <t>VÄSTRA GÖTALANDS LÄN</t>
        </is>
      </c>
      <c r="G125" t="inlineStr">
        <is>
          <t>TÖREBODA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46305</v>
      </c>
      <c r="F126" t="inlineStr">
        <is>
          <t>VÄSTRA GÖTALANDS LÄN</t>
        </is>
      </c>
      <c r="G126" t="inlineStr">
        <is>
          <t>TÖREBODA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46305</v>
      </c>
      <c r="F127" t="inlineStr">
        <is>
          <t>VÄSTRA GÖTALANDS LÄN</t>
        </is>
      </c>
      <c r="G127" t="inlineStr">
        <is>
          <t>TÖREBODA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46305</v>
      </c>
      <c r="F128" t="inlineStr">
        <is>
          <t>VÄSTRA GÖTALANDS LÄN</t>
        </is>
      </c>
      <c r="G128" t="inlineStr">
        <is>
          <t>TÖREBODA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46305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46305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46305</v>
      </c>
      <c r="F131" t="inlineStr">
        <is>
          <t>VÄSTRA GÖTALANDS LÄN</t>
        </is>
      </c>
      <c r="G131" t="inlineStr">
        <is>
          <t>TÖREBODA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46305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46305</v>
      </c>
      <c r="F133" t="inlineStr">
        <is>
          <t>VÄSTRA GÖTALANDS LÄN</t>
        </is>
      </c>
      <c r="G133" t="inlineStr">
        <is>
          <t>TÖREBODA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46305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45727</v>
      </c>
      <c r="E135" s="1" t="n">
        <v>46305</v>
      </c>
      <c r="F135" t="inlineStr">
        <is>
          <t>VÄSTRA GÖTALANDS LÄN</t>
        </is>
      </c>
      <c r="G135" t="inlineStr">
        <is>
          <t>TÖREBODA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46305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46305</v>
      </c>
      <c r="F137" t="inlineStr">
        <is>
          <t>VÄSTRA GÖTALANDS LÄN</t>
        </is>
      </c>
      <c r="G137" t="inlineStr">
        <is>
          <t>TÖREBODA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46305</v>
      </c>
      <c r="F138" t="inlineStr">
        <is>
          <t>VÄSTRA GÖTALANDS LÄN</t>
        </is>
      </c>
      <c r="G138" t="inlineStr">
        <is>
          <t>TÖREBODA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46305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46305</v>
      </c>
      <c r="F140" t="inlineStr">
        <is>
          <t>VÄSTRA GÖTALANDS LÄN</t>
        </is>
      </c>
      <c r="G140" t="inlineStr">
        <is>
          <t>TÖREBODA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46305</v>
      </c>
      <c r="F141" t="inlineStr">
        <is>
          <t>VÄSTRA GÖTALANDS LÄN</t>
        </is>
      </c>
      <c r="G141" t="inlineStr">
        <is>
          <t>TÖREBODA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46305</v>
      </c>
      <c r="F142" t="inlineStr">
        <is>
          <t>VÄSTRA GÖTALANDS LÄN</t>
        </is>
      </c>
      <c r="G142" t="inlineStr">
        <is>
          <t>TÖREBODA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46305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46305</v>
      </c>
      <c r="F144" t="inlineStr">
        <is>
          <t>VÄSTRA GÖTALANDS LÄN</t>
        </is>
      </c>
      <c r="G144" t="inlineStr">
        <is>
          <t>TÖREBODA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46305</v>
      </c>
      <c r="F145" t="inlineStr">
        <is>
          <t>VÄSTRA GÖTALANDS LÄN</t>
        </is>
      </c>
      <c r="G145" t="inlineStr">
        <is>
          <t>TÖREBODA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44664</v>
      </c>
      <c r="E146" s="1" t="n">
        <v>46305</v>
      </c>
      <c r="F146" t="inlineStr">
        <is>
          <t>VÄSTRA GÖTALANDS LÄN</t>
        </is>
      </c>
      <c r="G146" t="inlineStr">
        <is>
          <t>TÖREBODA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46305</v>
      </c>
      <c r="F147" t="inlineStr">
        <is>
          <t>VÄSTRA GÖTALANDS LÄN</t>
        </is>
      </c>
      <c r="G147" t="inlineStr">
        <is>
          <t>TÖREBODA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46305</v>
      </c>
      <c r="F148" t="inlineStr">
        <is>
          <t>VÄSTRA GÖTALANDS LÄN</t>
        </is>
      </c>
      <c r="G148" t="inlineStr">
        <is>
          <t>TÖREBODA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46305</v>
      </c>
      <c r="F149" t="inlineStr">
        <is>
          <t>VÄSTRA GÖTALANDS LÄN</t>
        </is>
      </c>
      <c r="G149" t="inlineStr">
        <is>
          <t>TÖREBODA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46305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46305</v>
      </c>
      <c r="F151" t="inlineStr">
        <is>
          <t>VÄSTRA GÖTALANDS LÄN</t>
        </is>
      </c>
      <c r="G151" t="inlineStr">
        <is>
          <t>TÖREBODA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46305</v>
      </c>
      <c r="F152" t="inlineStr">
        <is>
          <t>VÄSTRA GÖTALANDS LÄN</t>
        </is>
      </c>
      <c r="G152" t="inlineStr">
        <is>
          <t>TÖREBODA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46305</v>
      </c>
      <c r="F153" t="inlineStr">
        <is>
          <t>VÄSTRA GÖTALANDS LÄN</t>
        </is>
      </c>
      <c r="G153" t="inlineStr">
        <is>
          <t>TÖREBODA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45399</v>
      </c>
      <c r="E154" s="1" t="n">
        <v>46305</v>
      </c>
      <c r="F154" t="inlineStr">
        <is>
          <t>VÄSTRA GÖTALANDS LÄN</t>
        </is>
      </c>
      <c r="G154" t="inlineStr">
        <is>
          <t>TÖREBODA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46305</v>
      </c>
      <c r="F155" t="inlineStr">
        <is>
          <t>VÄSTRA GÖTALANDS LÄN</t>
        </is>
      </c>
      <c r="G155" t="inlineStr">
        <is>
          <t>TÖREBODA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45394</v>
      </c>
      <c r="E156" s="1" t="n">
        <v>46305</v>
      </c>
      <c r="F156" t="inlineStr">
        <is>
          <t>VÄSTRA GÖTALANDS LÄN</t>
        </is>
      </c>
      <c r="G156" t="inlineStr">
        <is>
          <t>TÖREBODA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46305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46305</v>
      </c>
      <c r="F158" t="inlineStr">
        <is>
          <t>VÄSTRA GÖTALANDS LÄN</t>
        </is>
      </c>
      <c r="G158" t="inlineStr">
        <is>
          <t>TÖREBODA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46305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46305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45493</v>
      </c>
      <c r="E161" s="1" t="n">
        <v>46305</v>
      </c>
      <c r="F161" t="inlineStr">
        <is>
          <t>VÄSTRA GÖTALANDS LÄN</t>
        </is>
      </c>
      <c r="G161" t="inlineStr">
        <is>
          <t>TÖREBODA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46305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46305</v>
      </c>
      <c r="F163" t="inlineStr">
        <is>
          <t>VÄSTRA GÖTALANDS LÄN</t>
        </is>
      </c>
      <c r="G163" t="inlineStr">
        <is>
          <t>TÖREBODA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46305</v>
      </c>
      <c r="F164" t="inlineStr">
        <is>
          <t>VÄSTRA GÖTALANDS LÄN</t>
        </is>
      </c>
      <c r="G164" t="inlineStr">
        <is>
          <t>TÖREBODA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46305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Aktiebolag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46305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46305</v>
      </c>
      <c r="F167" t="inlineStr">
        <is>
          <t>VÄSTRA GÖTALANDS LÄN</t>
        </is>
      </c>
      <c r="G167" t="inlineStr">
        <is>
          <t>TÖREBODA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46305</v>
      </c>
      <c r="F168" t="inlineStr">
        <is>
          <t>VÄSTRA GÖTALANDS LÄN</t>
        </is>
      </c>
      <c r="G168" t="inlineStr">
        <is>
          <t>TÖREBODA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46305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46305</v>
      </c>
      <c r="F170" t="inlineStr">
        <is>
          <t>VÄSTRA GÖTALANDS LÄN</t>
        </is>
      </c>
      <c r="G170" t="inlineStr">
        <is>
          <t>TÖREBODA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46305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46305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46305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45811</v>
      </c>
      <c r="E174" s="1" t="n">
        <v>46305</v>
      </c>
      <c r="F174" t="inlineStr">
        <is>
          <t>VÄSTRA GÖTALANDS LÄN</t>
        </is>
      </c>
      <c r="G174" t="inlineStr">
        <is>
          <t>TÖREBODA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46305</v>
      </c>
      <c r="F175" t="inlineStr">
        <is>
          <t>VÄSTRA GÖTALANDS LÄN</t>
        </is>
      </c>
      <c r="G175" t="inlineStr">
        <is>
          <t>TÖREBODA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46305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46305</v>
      </c>
      <c r="F177" t="inlineStr">
        <is>
          <t>VÄSTRA GÖTALANDS LÄN</t>
        </is>
      </c>
      <c r="G177" t="inlineStr">
        <is>
          <t>TÖREBODA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46305</v>
      </c>
      <c r="F178" t="inlineStr">
        <is>
          <t>VÄSTRA GÖTALANDS LÄN</t>
        </is>
      </c>
      <c r="G178" t="inlineStr">
        <is>
          <t>TÖREBODA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46305</v>
      </c>
      <c r="F179" t="inlineStr">
        <is>
          <t>VÄSTRA GÖTALANDS LÄN</t>
        </is>
      </c>
      <c r="G179" t="inlineStr">
        <is>
          <t>TÖREBODA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46305</v>
      </c>
      <c r="F180" t="inlineStr">
        <is>
          <t>VÄSTRA GÖTALANDS LÄN</t>
        </is>
      </c>
      <c r="G180" t="inlineStr">
        <is>
          <t>TÖREBODA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46305</v>
      </c>
      <c r="F181" t="inlineStr">
        <is>
          <t>VÄSTRA GÖTALANDS LÄN</t>
        </is>
      </c>
      <c r="G181" t="inlineStr">
        <is>
          <t>TÖREBODA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46305</v>
      </c>
      <c r="F182" t="inlineStr">
        <is>
          <t>VÄSTRA GÖTALANDS LÄN</t>
        </is>
      </c>
      <c r="G182" t="inlineStr">
        <is>
          <t>TÖREBODA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46305</v>
      </c>
      <c r="F183" t="inlineStr">
        <is>
          <t>VÄSTRA GÖTALANDS LÄN</t>
        </is>
      </c>
      <c r="G183" t="inlineStr">
        <is>
          <t>TÖREBODA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46305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46305</v>
      </c>
      <c r="F185" t="inlineStr">
        <is>
          <t>VÄSTRA GÖTALANDS LÄN</t>
        </is>
      </c>
      <c r="G185" t="inlineStr">
        <is>
          <t>TÖREBODA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46305</v>
      </c>
      <c r="F186" t="inlineStr">
        <is>
          <t>VÄSTRA GÖTALANDS LÄN</t>
        </is>
      </c>
      <c r="G186" t="inlineStr">
        <is>
          <t>TÖREBODA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46305</v>
      </c>
      <c r="F187" t="inlineStr">
        <is>
          <t>VÄSTRA GÖTALANDS LÄN</t>
        </is>
      </c>
      <c r="G187" t="inlineStr">
        <is>
          <t>TÖREBODA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46305</v>
      </c>
      <c r="F188" t="inlineStr">
        <is>
          <t>VÄSTRA GÖTALANDS LÄN</t>
        </is>
      </c>
      <c r="G188" t="inlineStr">
        <is>
          <t>TÖREBODA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46305</v>
      </c>
      <c r="F189" t="inlineStr">
        <is>
          <t>VÄSTRA GÖTALANDS LÄN</t>
        </is>
      </c>
      <c r="G189" t="inlineStr">
        <is>
          <t>TÖREBODA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46305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57225-2021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46305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46305</v>
      </c>
      <c r="F192" t="inlineStr">
        <is>
          <t>VÄSTRA GÖTALANDS LÄN</t>
        </is>
      </c>
      <c r="G192" t="inlineStr">
        <is>
          <t>TÖREBODA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46305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46305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46305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46305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46305</v>
      </c>
      <c r="F197" t="inlineStr">
        <is>
          <t>VÄSTRA GÖTALANDS LÄN</t>
        </is>
      </c>
      <c r="G197" t="inlineStr">
        <is>
          <t>TÖREBODA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46305</v>
      </c>
      <c r="F198" t="inlineStr">
        <is>
          <t>VÄSTRA GÖTALANDS LÄN</t>
        </is>
      </c>
      <c r="G198" t="inlineStr">
        <is>
          <t>TÖREBODA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46305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46305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46305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46305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46305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46305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46305</v>
      </c>
      <c r="F205" t="inlineStr">
        <is>
          <t>VÄSTRA GÖTALANDS LÄN</t>
        </is>
      </c>
      <c r="G205" t="inlineStr">
        <is>
          <t>TÖREBODA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46305</v>
      </c>
      <c r="F206" t="inlineStr">
        <is>
          <t>VÄSTRA GÖTALANDS LÄN</t>
        </is>
      </c>
      <c r="G206" t="inlineStr">
        <is>
          <t>TÖREBODA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46305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45971</v>
      </c>
      <c r="E208" s="1" t="n">
        <v>46305</v>
      </c>
      <c r="F208" t="inlineStr">
        <is>
          <t>VÄSTRA GÖTALANDS LÄN</t>
        </is>
      </c>
      <c r="G208" t="inlineStr">
        <is>
          <t>TÖREBODA</t>
        </is>
      </c>
      <c r="I208" t="n">
        <v>20.8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46305</v>
      </c>
      <c r="F209" t="inlineStr">
        <is>
          <t>VÄSTRA GÖTALANDS LÄN</t>
        </is>
      </c>
      <c r="G209" t="inlineStr">
        <is>
          <t>TÖREBODA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46305</v>
      </c>
      <c r="F210" t="inlineStr">
        <is>
          <t>VÄSTRA GÖTALANDS LÄN</t>
        </is>
      </c>
      <c r="G210" t="inlineStr">
        <is>
          <t>TÖREBODA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46305</v>
      </c>
      <c r="F211" t="inlineStr">
        <is>
          <t>VÄSTRA GÖTALANDS LÄN</t>
        </is>
      </c>
      <c r="G211" t="inlineStr">
        <is>
          <t>TÖREBODA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46305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45972</v>
      </c>
      <c r="E213" s="1" t="n">
        <v>46305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44782</v>
      </c>
      <c r="E214" s="1" t="n">
        <v>46305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46305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28196-2022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44746</v>
      </c>
      <c r="E216" s="1" t="n">
        <v>46305</v>
      </c>
      <c r="F216" t="inlineStr">
        <is>
          <t>VÄSTRA GÖTALANDS LÄN</t>
        </is>
      </c>
      <c r="G216" t="inlineStr">
        <is>
          <t>TÖREBODA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46305</v>
      </c>
      <c r="F217" t="inlineStr">
        <is>
          <t>VÄSTRA GÖTALANDS LÄN</t>
        </is>
      </c>
      <c r="G217" t="inlineStr">
        <is>
          <t>TÖREBODA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46305</v>
      </c>
      <c r="F218" t="inlineStr">
        <is>
          <t>VÄSTRA GÖTALANDS LÄN</t>
        </is>
      </c>
      <c r="G218" t="inlineStr">
        <is>
          <t>TÖREBODA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29891-2022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44756</v>
      </c>
      <c r="E219" s="1" t="n">
        <v>46305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46305</v>
      </c>
      <c r="F220" t="inlineStr">
        <is>
          <t>VÄSTRA GÖTALANDS LÄN</t>
        </is>
      </c>
      <c r="G220" t="inlineStr">
        <is>
          <t>TÖREBODA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44950</v>
      </c>
      <c r="E221" s="1" t="n">
        <v>46305</v>
      </c>
      <c r="F221" t="inlineStr">
        <is>
          <t>VÄSTRA GÖTALANDS LÄN</t>
        </is>
      </c>
      <c r="G221" t="inlineStr">
        <is>
          <t>TÖREBODA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46305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46305</v>
      </c>
      <c r="F223" t="inlineStr">
        <is>
          <t>VÄSTRA GÖTALANDS LÄN</t>
        </is>
      </c>
      <c r="G223" t="inlineStr">
        <is>
          <t>TÖREBODA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46305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46305</v>
      </c>
      <c r="F225" t="inlineStr">
        <is>
          <t>VÄSTRA GÖTALANDS LÄN</t>
        </is>
      </c>
      <c r="G225" t="inlineStr">
        <is>
          <t>TÖREBODA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45233</v>
      </c>
      <c r="E226" s="1" t="n">
        <v>46305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46305</v>
      </c>
      <c r="F227" t="inlineStr">
        <is>
          <t>VÄSTRA GÖTALANDS LÄN</t>
        </is>
      </c>
      <c r="G227" t="inlineStr">
        <is>
          <t>TÖREBODA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46305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46305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46305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45651</v>
      </c>
      <c r="E231" s="1" t="n">
        <v>46305</v>
      </c>
      <c r="F231" t="inlineStr">
        <is>
          <t>VÄSTRA GÖTALANDS LÄN</t>
        </is>
      </c>
      <c r="G231" t="inlineStr">
        <is>
          <t>TÖREBODA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46305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46305</v>
      </c>
      <c r="F233" t="inlineStr">
        <is>
          <t>VÄSTRA GÖTALANDS LÄN</t>
        </is>
      </c>
      <c r="G233" t="inlineStr">
        <is>
          <t>TÖREBODA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46305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15567-2026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46106</v>
      </c>
      <c r="E235" s="1" t="n">
        <v>46305</v>
      </c>
      <c r="F235" t="inlineStr">
        <is>
          <t>VÄSTRA GÖTALANDS LÄN</t>
        </is>
      </c>
      <c r="G235" t="inlineStr">
        <is>
          <t>TÖREBODA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46305</v>
      </c>
      <c r="F236" t="inlineStr">
        <is>
          <t>VÄSTRA GÖTALANDS LÄN</t>
        </is>
      </c>
      <c r="G236" t="inlineStr">
        <is>
          <t>TÖREBODA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46305</v>
      </c>
      <c r="F237" t="inlineStr">
        <is>
          <t>VÄSTRA GÖTALANDS LÄN</t>
        </is>
      </c>
      <c r="G237" t="inlineStr">
        <is>
          <t>TÖREBODA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46305</v>
      </c>
      <c r="F238" t="inlineStr">
        <is>
          <t>VÄSTRA GÖTALANDS LÄN</t>
        </is>
      </c>
      <c r="G238" t="inlineStr">
        <is>
          <t>TÖREBODA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46305</v>
      </c>
      <c r="F239" t="inlineStr">
        <is>
          <t>VÄSTRA GÖTALANDS LÄN</t>
        </is>
      </c>
      <c r="G239" t="inlineStr">
        <is>
          <t>TÖREBODA</t>
        </is>
      </c>
      <c r="I239" t="n">
        <v>49.4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44924</v>
      </c>
      <c r="E240" s="1" t="n">
        <v>46305</v>
      </c>
      <c r="F240" t="inlineStr">
        <is>
          <t>VÄSTRA GÖTALANDS LÄN</t>
        </is>
      </c>
      <c r="G240" t="inlineStr">
        <is>
          <t>TÖREBODA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46305</v>
      </c>
      <c r="F241" t="inlineStr">
        <is>
          <t>VÄSTRA GÖTALANDS LÄN</t>
        </is>
      </c>
      <c r="G241" t="inlineStr">
        <is>
          <t>TÖREBODA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46305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46305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46305</v>
      </c>
      <c r="F244" t="inlineStr">
        <is>
          <t>VÄSTRA GÖTALANDS LÄN</t>
        </is>
      </c>
      <c r="G244" t="inlineStr">
        <is>
          <t>TÖREBODA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46305</v>
      </c>
      <c r="F245" t="inlineStr">
        <is>
          <t>VÄSTRA GÖTALANDS LÄN</t>
        </is>
      </c>
      <c r="G245" t="inlineStr">
        <is>
          <t>TÖREBODA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46305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44951</v>
      </c>
      <c r="E247" s="1" t="n">
        <v>46305</v>
      </c>
      <c r="F247" t="inlineStr">
        <is>
          <t>VÄSTRA GÖTALANDS LÄN</t>
        </is>
      </c>
      <c r="G247" t="inlineStr">
        <is>
          <t>TÖREBODA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19706-2026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46134</v>
      </c>
      <c r="E248" s="1" t="n">
        <v>46305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46305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46305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46305</v>
      </c>
      <c r="F251" t="inlineStr">
        <is>
          <t>VÄSTRA GÖTALANDS LÄN</t>
        </is>
      </c>
      <c r="G251" t="inlineStr">
        <is>
          <t>TÖREBODA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46305</v>
      </c>
      <c r="F252" t="inlineStr">
        <is>
          <t>VÄSTRA GÖTALANDS LÄN</t>
        </is>
      </c>
      <c r="G252" t="inlineStr">
        <is>
          <t>TÖREBODA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46305</v>
      </c>
      <c r="F253" t="inlineStr">
        <is>
          <t>VÄSTRA GÖTALANDS LÄN</t>
        </is>
      </c>
      <c r="G253" t="inlineStr">
        <is>
          <t>TÖREBODA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44816</v>
      </c>
      <c r="E254" s="1" t="n">
        <v>46305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46305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46305</v>
      </c>
      <c r="F256" t="inlineStr">
        <is>
          <t>VÄSTRA GÖTALANDS LÄN</t>
        </is>
      </c>
      <c r="G256" t="inlineStr">
        <is>
          <t>TÖREBODA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46305</v>
      </c>
      <c r="F257" t="inlineStr">
        <is>
          <t>VÄSTRA GÖTALANDS LÄN</t>
        </is>
      </c>
      <c r="G257" t="inlineStr">
        <is>
          <t>TÖREBODA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46305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46305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46305</v>
      </c>
      <c r="F260" t="inlineStr">
        <is>
          <t>VÄSTRA GÖTALANDS LÄN</t>
        </is>
      </c>
      <c r="G260" t="inlineStr">
        <is>
          <t>TÖREBODA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46305</v>
      </c>
      <c r="F261" t="inlineStr">
        <is>
          <t>VÄSTRA GÖTALANDS LÄN</t>
        </is>
      </c>
      <c r="G261" t="inlineStr">
        <is>
          <t>TÖREBODA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46305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Övriga statliga verk och myndigheter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44972</v>
      </c>
      <c r="E263" s="1" t="n">
        <v>46305</v>
      </c>
      <c r="F263" t="inlineStr">
        <is>
          <t>VÄSTRA GÖTALANDS LÄN</t>
        </is>
      </c>
      <c r="G263" t="inlineStr">
        <is>
          <t>TÖREBODA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46305</v>
      </c>
      <c r="F264" t="inlineStr">
        <is>
          <t>VÄSTRA GÖTALANDS LÄN</t>
        </is>
      </c>
      <c r="G264" t="inlineStr">
        <is>
          <t>TÖREBODA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46305</v>
      </c>
      <c r="F265" t="inlineStr">
        <is>
          <t>VÄSTRA GÖTALANDS LÄN</t>
        </is>
      </c>
      <c r="G265" t="inlineStr">
        <is>
          <t>TÖREBODA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45699</v>
      </c>
      <c r="E266" s="1" t="n">
        <v>46305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46305</v>
      </c>
      <c r="F267" t="inlineStr">
        <is>
          <t>VÄSTRA GÖTALANDS LÄN</t>
        </is>
      </c>
      <c r="G267" t="inlineStr">
        <is>
          <t>TÖREBODA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46305</v>
      </c>
      <c r="F268" t="inlineStr">
        <is>
          <t>VÄSTRA GÖTALANDS LÄN</t>
        </is>
      </c>
      <c r="G268" t="inlineStr">
        <is>
          <t>TÖREBODA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44987</v>
      </c>
      <c r="E269" s="1" t="n">
        <v>46305</v>
      </c>
      <c r="F269" t="inlineStr">
        <is>
          <t>VÄSTRA GÖTALANDS LÄN</t>
        </is>
      </c>
      <c r="G269" t="inlineStr">
        <is>
          <t>TÖREBODA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46305</v>
      </c>
      <c r="F270" t="inlineStr">
        <is>
          <t>VÄSTRA GÖTALANDS LÄN</t>
        </is>
      </c>
      <c r="G270" t="inlineStr">
        <is>
          <t>TÖREBODA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46305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46305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46305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46305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46305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46305</v>
      </c>
      <c r="F276" t="inlineStr">
        <is>
          <t>VÄSTRA GÖTALANDS LÄN</t>
        </is>
      </c>
      <c r="G276" t="inlineStr">
        <is>
          <t>TÖREBODA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46305</v>
      </c>
      <c r="F277" t="inlineStr">
        <is>
          <t>VÄSTRA GÖTALANDS LÄN</t>
        </is>
      </c>
      <c r="G277" t="inlineStr">
        <is>
          <t>TÖREBODA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46305</v>
      </c>
      <c r="F278" t="inlineStr">
        <is>
          <t>VÄSTRA GÖTALANDS LÄN</t>
        </is>
      </c>
      <c r="G278" t="inlineStr">
        <is>
          <t>TÖREBODA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46305</v>
      </c>
      <c r="F279" t="inlineStr">
        <is>
          <t>VÄSTRA GÖTALANDS LÄN</t>
        </is>
      </c>
      <c r="G279" t="inlineStr">
        <is>
          <t>TÖREBODA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46305</v>
      </c>
      <c r="F280" t="inlineStr">
        <is>
          <t>VÄSTRA GÖTALANDS LÄN</t>
        </is>
      </c>
      <c r="G280" t="inlineStr">
        <is>
          <t>TÖREBODA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46152</v>
      </c>
      <c r="E281" s="1" t="n">
        <v>46305</v>
      </c>
      <c r="F281" t="inlineStr">
        <is>
          <t>VÄSTRA GÖTALANDS LÄN</t>
        </is>
      </c>
      <c r="G281" t="inlineStr">
        <is>
          <t>TÖREBODA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46305</v>
      </c>
      <c r="F282" t="inlineStr">
        <is>
          <t>VÄSTRA GÖTALANDS LÄN</t>
        </is>
      </c>
      <c r="G282" t="inlineStr">
        <is>
          <t>TÖREBODA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46305</v>
      </c>
      <c r="F283" t="inlineStr">
        <is>
          <t>VÄSTRA GÖTALANDS LÄN</t>
        </is>
      </c>
      <c r="G283" t="inlineStr">
        <is>
          <t>TÖREBODA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46305</v>
      </c>
      <c r="F284" t="inlineStr">
        <is>
          <t>VÄSTRA GÖTALANDS LÄN</t>
        </is>
      </c>
      <c r="G284" t="inlineStr">
        <is>
          <t>TÖREBODA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46305</v>
      </c>
      <c r="F285" t="inlineStr">
        <is>
          <t>VÄSTRA GÖTALANDS LÄN</t>
        </is>
      </c>
      <c r="G285" t="inlineStr">
        <is>
          <t>TÖREBODA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46305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46305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46305</v>
      </c>
      <c r="F288" t="inlineStr">
        <is>
          <t>VÄSTRA GÖTALANDS LÄN</t>
        </is>
      </c>
      <c r="G288" t="inlineStr">
        <is>
          <t>TÖREBODA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45665</v>
      </c>
      <c r="E289" s="1" t="n">
        <v>46305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46305</v>
      </c>
      <c r="F290" t="inlineStr">
        <is>
          <t>VÄSTRA GÖTALANDS LÄN</t>
        </is>
      </c>
      <c r="G290" t="inlineStr">
        <is>
          <t>TÖREBODA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46305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46305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45637</v>
      </c>
      <c r="E293" s="1" t="n">
        <v>46305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46305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46305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46305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46305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46305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46305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46305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46305</v>
      </c>
      <c r="F301" t="inlineStr">
        <is>
          <t>VÄSTRA GÖTALANDS LÄN</t>
        </is>
      </c>
      <c r="G301" t="inlineStr">
        <is>
          <t>TÖREBODA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46305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46305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46268</v>
      </c>
      <c r="E304" s="1" t="n">
        <v>46305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46305</v>
      </c>
      <c r="F305" t="inlineStr">
        <is>
          <t>VÄSTRA GÖTALANDS LÄN</t>
        </is>
      </c>
      <c r="G305" t="inlineStr">
        <is>
          <t>TÖREBODA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46305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46305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46305</v>
      </c>
      <c r="F308" t="inlineStr">
        <is>
          <t>VÄSTRA GÖTALANDS LÄN</t>
        </is>
      </c>
      <c r="G308" t="inlineStr">
        <is>
          <t>TÖREBODA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46305</v>
      </c>
      <c r="F309" t="inlineStr">
        <is>
          <t>VÄSTRA GÖTALANDS LÄN</t>
        </is>
      </c>
      <c r="G309" t="inlineStr">
        <is>
          <t>TÖREBODA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39282-2026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46288</v>
      </c>
      <c r="E310" s="1" t="n">
        <v>46305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46305</v>
      </c>
      <c r="F311" t="inlineStr">
        <is>
          <t>VÄSTRA GÖTALANDS LÄN</t>
        </is>
      </c>
      <c r="G311" t="inlineStr">
        <is>
          <t>TÖREBODA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46305</v>
      </c>
      <c r="F312" t="inlineStr">
        <is>
          <t>VÄSTRA GÖTALANDS LÄN</t>
        </is>
      </c>
      <c r="G312" t="inlineStr">
        <is>
          <t>TÖREBODA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46305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46305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46305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46305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46305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46305</v>
      </c>
      <c r="F318" t="inlineStr">
        <is>
          <t>VÄSTRA GÖTALANDS LÄN</t>
        </is>
      </c>
      <c r="G318" t="inlineStr">
        <is>
          <t>TÖREBODA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46305</v>
      </c>
      <c r="F319" t="inlineStr">
        <is>
          <t>VÄSTRA GÖTALANDS LÄN</t>
        </is>
      </c>
      <c r="G319" t="inlineStr">
        <is>
          <t>TÖREBODA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46305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46305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46305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46305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2026-10-10T02:01:06Z</dcterms:created>
  <dcterms:modified xmlns:dcterms="http://purl.org/dc/terms/" xmlns:xsi="http://www.w3.org/2001/XMLSchema-instance" xsi:type="dcterms:W3CDTF">2026-10-10T02:01:06Z</dcterms:modified>
</cp:coreProperties>
</file>