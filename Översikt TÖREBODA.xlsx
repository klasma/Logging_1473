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57566-2021</t>
        </is>
      </c>
      <c r="B2" s="1" t="n">
        <v>44484</v>
      </c>
      <c r="C2" s="1" t="n">
        <v>45286</v>
      </c>
      <c r="D2" t="inlineStr">
        <is>
          <t>VÄSTRA GÖTALANDS LÄN</t>
        </is>
      </c>
      <c r="E2" t="inlineStr">
        <is>
          <t>TÖREBODA</t>
        </is>
      </c>
      <c r="F2" t="inlineStr">
        <is>
          <t>Sveaskog</t>
        </is>
      </c>
      <c r="G2" t="n">
        <v>1.3</v>
      </c>
      <c r="H2" t="n">
        <v>1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Ask
Lönnlav
Trubbfjädermossa
Blåsippa</t>
        </is>
      </c>
      <c r="S2">
        <f>HYPERLINK("https://klasma.github.io/Logging_1473/artfynd/A 57566-2021 artfynd.xlsx", "A 57566-2021")</f>
        <v/>
      </c>
      <c r="T2">
        <f>HYPERLINK("https://klasma.github.io/Logging_1473/kartor/A 57566-2021 karta.png", "A 57566-2021")</f>
        <v/>
      </c>
      <c r="V2">
        <f>HYPERLINK("https://klasma.github.io/Logging_1473/klagomål/A 57566-2021 FSC-klagomål.docx", "A 57566-2021")</f>
        <v/>
      </c>
      <c r="W2">
        <f>HYPERLINK("https://klasma.github.io/Logging_1473/klagomålsmail/A 57566-2021 FSC-klagomål mail.docx", "A 57566-2021")</f>
        <v/>
      </c>
      <c r="X2">
        <f>HYPERLINK("https://klasma.github.io/Logging_1473/tillsyn/A 57566-2021 tillsynsbegäran.docx", "A 57566-2021")</f>
        <v/>
      </c>
      <c r="Y2">
        <f>HYPERLINK("https://klasma.github.io/Logging_1473/tillsynsmail/A 57566-2021 tillsynsbegäran mail.docx", "A 57566-2021")</f>
        <v/>
      </c>
    </row>
    <row r="3" ht="15" customHeight="1">
      <c r="A3" t="inlineStr">
        <is>
          <t>A 45158-2023</t>
        </is>
      </c>
      <c r="B3" s="1" t="n">
        <v>45191</v>
      </c>
      <c r="C3" s="1" t="n">
        <v>45286</v>
      </c>
      <c r="D3" t="inlineStr">
        <is>
          <t>VÄSTRA GÖTALANDS LÄN</t>
        </is>
      </c>
      <c r="E3" t="inlineStr">
        <is>
          <t>TÖREBODA</t>
        </is>
      </c>
      <c r="G3" t="n">
        <v>3.1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Garnlav
Spillkråka</t>
        </is>
      </c>
      <c r="S3">
        <f>HYPERLINK("https://klasma.github.io/Logging_1473/artfynd/A 45158-2023 artfynd.xlsx", "A 45158-2023")</f>
        <v/>
      </c>
      <c r="T3">
        <f>HYPERLINK("https://klasma.github.io/Logging_1473/kartor/A 45158-2023 karta.png", "A 45158-2023")</f>
        <v/>
      </c>
      <c r="U3">
        <f>HYPERLINK("https://klasma.github.io/Logging_1473/knärot/A 45158-2023 karta knärot.png", "A 45158-2023")</f>
        <v/>
      </c>
      <c r="V3">
        <f>HYPERLINK("https://klasma.github.io/Logging_1473/klagomål/A 45158-2023 FSC-klagomål.docx", "A 45158-2023")</f>
        <v/>
      </c>
      <c r="W3">
        <f>HYPERLINK("https://klasma.github.io/Logging_1473/klagomålsmail/A 45158-2023 FSC-klagomål mail.docx", "A 45158-2023")</f>
        <v/>
      </c>
      <c r="X3">
        <f>HYPERLINK("https://klasma.github.io/Logging_1473/tillsyn/A 45158-2023 tillsynsbegäran.docx", "A 45158-2023")</f>
        <v/>
      </c>
      <c r="Y3">
        <f>HYPERLINK("https://klasma.github.io/Logging_1473/tillsynsmail/A 45158-2023 tillsynsbegäran mail.docx", "A 45158-2023")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45286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45286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45286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45286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45286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45286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45286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45286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45286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45286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45286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45286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45286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45286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45286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45286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45286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45286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45286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45286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45286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45286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45286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45286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45286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45286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45286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45286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45286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45286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45286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45286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45286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45286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45286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45286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45286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45286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45286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45286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45286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45286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45286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45286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45286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45286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45286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45286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45286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45286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45286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45286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45286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45286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45286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45286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45286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45286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45286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45286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45286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45286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45286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45286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45286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45286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45286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45286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45286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45286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45286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45286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45286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45286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45286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45286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45286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45286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45286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45286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45286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45286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45286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45286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45286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45286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45286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45286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45286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45286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45286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45286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45286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45286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45286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45286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45286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45286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45286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45286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45286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45286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45286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45286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45286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45286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45286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45286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45286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45286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45286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45286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45286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45286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45286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45286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45286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45286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45286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45286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45286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45286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45286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45286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45286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45286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45286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45286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45286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45286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45286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45286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45286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45286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45286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45286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45286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45286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45286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45286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45286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45286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45286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45286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45286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45286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45286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45286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45286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45286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45286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45286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45286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45286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45286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45286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45286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45286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45286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45286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45286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45286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45286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45286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45286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45286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45286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45286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45286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45286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45286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45286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45286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45286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45286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45286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45286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45286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45286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45286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45286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45286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45286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45286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45286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45286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45286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45286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45286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45286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45286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45286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45286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45286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45286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45286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45286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45286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45286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45286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45286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45286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45286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45286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45286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45286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45286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45286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45286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45286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45286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45286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45286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45286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45286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45286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45286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45286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45286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45286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45286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45286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45286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45286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45286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45286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45286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45286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45286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45286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45286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45286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45286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45286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45286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45286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45286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45286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45286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45286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45286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45286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45286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45286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45286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45286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45286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45286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45286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45286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45286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45286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45286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45286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45286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45286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45286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45286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45286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45286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45286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45286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45286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45286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45286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45286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45286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45286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45286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45286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45286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45286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45286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45286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45286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45286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45286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45286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45286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45286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45286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45286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45286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45286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45286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45286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45286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45286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45286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45286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45286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45286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45286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45286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45286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45286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45286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45286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45286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45286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45286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45286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45286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45286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45286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45286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45286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45286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45286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45286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45286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45286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45286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45286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45286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45286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45286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45286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45286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45286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45286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45286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45286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45286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45286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45286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45286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45286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45286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45286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45286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45286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45286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45286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45286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45286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45286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45286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45286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45286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45286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45286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45286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45286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45286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45286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45286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45286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45286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45286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45286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45286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45286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45286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45286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45286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45286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45286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45286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45286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45286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45286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45286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45286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45286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45286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45286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45286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45286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45286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45286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45286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45286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45286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45286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45286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45286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45286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45286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45286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45286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45286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45286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45286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45286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45286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45286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45286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45286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45286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45286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45286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45286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45286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45286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45286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45286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45286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45286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45286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45286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45286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45286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45286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45286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45286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45286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45286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45286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45286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45286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45286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45286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45286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45286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45286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45286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45286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45286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45286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45286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45286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45286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45286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45286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45286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45286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45286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45286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45286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45286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45286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45286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45286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45286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45286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45286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45286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45286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45286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45286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45286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45286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45286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45286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45286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45286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45286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62204-2023</t>
        </is>
      </c>
      <c r="B452" s="1" t="n">
        <v>45267</v>
      </c>
      <c r="C452" s="1" t="n">
        <v>45286</v>
      </c>
      <c r="D452" t="inlineStr">
        <is>
          <t>VÄSTRA GÖTALANDS LÄN</t>
        </is>
      </c>
      <c r="E452" t="inlineStr">
        <is>
          <t>TÖREBODA</t>
        </is>
      </c>
      <c r="G452" t="n">
        <v>16.8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62194-2023</t>
        </is>
      </c>
      <c r="B453" s="1" t="n">
        <v>45267</v>
      </c>
      <c r="C453" s="1" t="n">
        <v>45286</v>
      </c>
      <c r="D453" t="inlineStr">
        <is>
          <t>VÄSTRA GÖTALANDS LÄN</t>
        </is>
      </c>
      <c r="E453" t="inlineStr">
        <is>
          <t>TÖREBODA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62782-2023</t>
        </is>
      </c>
      <c r="B454" s="1" t="n">
        <v>45268</v>
      </c>
      <c r="C454" s="1" t="n">
        <v>45286</v>
      </c>
      <c r="D454" t="inlineStr">
        <is>
          <t>VÄSTRA GÖTALANDS LÄN</t>
        </is>
      </c>
      <c r="E454" t="inlineStr">
        <is>
          <t>TÖREBODA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62781-2023</t>
        </is>
      </c>
      <c r="B455" s="1" t="n">
        <v>45268</v>
      </c>
      <c r="C455" s="1" t="n">
        <v>45286</v>
      </c>
      <c r="D455" t="inlineStr">
        <is>
          <t>VÄSTRA GÖTALANDS LÄN</t>
        </is>
      </c>
      <c r="E455" t="inlineStr">
        <is>
          <t>TÖREBODA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63113-2023</t>
        </is>
      </c>
      <c r="B456" s="1" t="n">
        <v>45273</v>
      </c>
      <c r="C456" s="1" t="n">
        <v>45286</v>
      </c>
      <c r="D456" t="inlineStr">
        <is>
          <t>VÄSTRA GÖTALANDS LÄN</t>
        </is>
      </c>
      <c r="E456" t="inlineStr">
        <is>
          <t>TÖREBODA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64433-2023</t>
        </is>
      </c>
      <c r="B457" s="1" t="n">
        <v>45280</v>
      </c>
      <c r="C457" s="1" t="n">
        <v>45286</v>
      </c>
      <c r="D457" t="inlineStr">
        <is>
          <t>VÄSTRA GÖTALANDS LÄN</t>
        </is>
      </c>
      <c r="E457" t="inlineStr">
        <is>
          <t>TÖREBODA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64781-2023</t>
        </is>
      </c>
      <c r="B458" s="1" t="n">
        <v>45282</v>
      </c>
      <c r="C458" s="1" t="n">
        <v>45286</v>
      </c>
      <c r="D458" t="inlineStr">
        <is>
          <t>VÄSTRA GÖTALANDS LÄN</t>
        </is>
      </c>
      <c r="E458" t="inlineStr">
        <is>
          <t>TÖREBODA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64785-2023</t>
        </is>
      </c>
      <c r="B459" s="1" t="n">
        <v>45282</v>
      </c>
      <c r="C459" s="1" t="n">
        <v>45286</v>
      </c>
      <c r="D459" t="inlineStr">
        <is>
          <t>VÄSTRA GÖTALANDS LÄN</t>
        </is>
      </c>
      <c r="E459" t="inlineStr">
        <is>
          <t>TÖREBODA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64783-2023</t>
        </is>
      </c>
      <c r="B460" s="1" t="n">
        <v>45282</v>
      </c>
      <c r="C460" s="1" t="n">
        <v>45286</v>
      </c>
      <c r="D460" t="inlineStr">
        <is>
          <t>VÄSTRA GÖTALANDS LÄN</t>
        </is>
      </c>
      <c r="E460" t="inlineStr">
        <is>
          <t>TÖREBODA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64799-2023</t>
        </is>
      </c>
      <c r="B461" s="1" t="n">
        <v>45282</v>
      </c>
      <c r="C461" s="1" t="n">
        <v>45286</v>
      </c>
      <c r="D461" t="inlineStr">
        <is>
          <t>VÄSTRA GÖTALANDS LÄN</t>
        </is>
      </c>
      <c r="E461" t="inlineStr">
        <is>
          <t>TÖREBODA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2023-12-27T01:16:53Z</dcterms:created>
  <dcterms:modified xmlns:dcterms="http://purl.org/dc/terms/" xmlns:xsi="http://www.w3.org/2001/XMLSchema-instance" xsi:type="dcterms:W3CDTF">2023-12-27T01:16:53Z</dcterms:modified>
</cp:coreProperties>
</file>