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46248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46248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46248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46248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46248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46248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46248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46248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46248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46248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7823-2022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44608</v>
      </c>
      <c r="E13" s="1" t="n">
        <v>46248</v>
      </c>
      <c r="F13" t="inlineStr">
        <is>
          <t>VÄSTRA GÖTALANDS LÄN</t>
        </is>
      </c>
      <c r="G13" t="inlineStr">
        <is>
          <t>TÖREBODA</t>
        </is>
      </c>
      <c r="I13" t="n">
        <v>21.5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Fläcknycklar
Grönvit nattviol</t>
        </is>
      </c>
      <c r="W13">
        <f>HYPERLINK("https://klasma.github.io/Logging_1473/artfynd/A 7823-2022 artfynd.xlsx", "A 7823-2022")</f>
        <v/>
      </c>
      <c r="X13">
        <f>HYPERLINK("https://klasma.github.io/Logging_1473/kartor/A 7823-2022 karta.png", "A 7823-2022")</f>
        <v/>
      </c>
      <c r="Y13">
        <f>HYPERLINK("https://klasma.github.io/Logging_1473/kartor_geotiff/A 7823-2022 georefererad karta.tif", "A 7823-2022")</f>
        <v/>
      </c>
      <c r="AA13">
        <f>HYPERLINK("https://klasma.github.io/Logging_1473/klagomål/A 7823-2022 FSC-klagomål.docx", "A 7823-2022")</f>
        <v/>
      </c>
      <c r="AB13">
        <f>HYPERLINK("https://klasma.github.io/Logging_1473/klagomålsmail/A 7823-2022 FSC-klagomål mail.docx", "A 7823-2022")</f>
        <v/>
      </c>
      <c r="AC13">
        <f>HYPERLINK("https://klasma.github.io/Logging_1473/tillsyn/A 7823-2022 tillsynsbegäran.docx", "A 7823-2022")</f>
        <v/>
      </c>
      <c r="AD13">
        <f>HYPERLINK("https://klasma.github.io/Logging_1473/tillsynsmail/A 7823-2022 tillsynsbegäran mail.docx", "A 7823-2022")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46248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46248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46248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43522-2022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46248</v>
      </c>
      <c r="F17" t="inlineStr">
        <is>
          <t>VÄSTRA GÖTALANDS LÄN</t>
        </is>
      </c>
      <c r="G17" t="inlineStr">
        <is>
          <t>TÖREBODA</t>
        </is>
      </c>
      <c r="I17" t="n">
        <v>0.6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Grönpyrola</t>
        </is>
      </c>
      <c r="W17">
        <f>HYPERLINK("https://klasma.github.io/Logging_1473/artfynd/A 43522-2022 artfynd.xlsx", "A 43522-2022")</f>
        <v/>
      </c>
      <c r="X17">
        <f>HYPERLINK("https://klasma.github.io/Logging_1473/kartor/A 43522-2022 karta.png", "A 43522-2022")</f>
        <v/>
      </c>
      <c r="Y17">
        <f>HYPERLINK("https://klasma.github.io/Logging_1473/kartor_geotiff/A 43522-2022 georefererad karta.tif", "A 43522-2022")</f>
        <v/>
      </c>
      <c r="AA17">
        <f>HYPERLINK("https://klasma.github.io/Logging_1473/klagomål/A 43522-2022 FSC-klagomål.docx", "A 43522-2022")</f>
        <v/>
      </c>
      <c r="AB17">
        <f>HYPERLINK("https://klasma.github.io/Logging_1473/klagomålsmail/A 43522-2022 FSC-klagomål mail.docx", "A 43522-2022")</f>
        <v/>
      </c>
      <c r="AC17">
        <f>HYPERLINK("https://klasma.github.io/Logging_1473/tillsyn/A 43522-2022 tillsynsbegäran.docx", "A 43522-2022")</f>
        <v/>
      </c>
      <c r="AD17">
        <f>HYPERLINK("https://klasma.github.io/Logging_1473/tillsynsmail/A 43522-2022 tillsynsbegäran mail.docx", "A 43522-2022")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46248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4</v>
      </c>
      <c r="V18" s="2" t="inlineStr">
        <is>
          <t>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58097-2024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46248</v>
      </c>
      <c r="F19" t="inlineStr">
        <is>
          <t>VÄSTRA GÖTALANDS LÄN</t>
        </is>
      </c>
      <c r="G19" t="inlineStr">
        <is>
          <t>TÖREBODA</t>
        </is>
      </c>
      <c r="I19" t="n">
        <v>8.6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Vattenfladdermus</t>
        </is>
      </c>
      <c r="W19">
        <f>HYPERLINK("https://klasma.github.io/Logging_1473/artfynd/A 58097-2024 artfynd.xlsx", "A 58097-2024")</f>
        <v/>
      </c>
      <c r="X19">
        <f>HYPERLINK("https://klasma.github.io/Logging_1473/kartor/A 58097-2024 karta.png", "A 58097-2024")</f>
        <v/>
      </c>
      <c r="Y19">
        <f>HYPERLINK("https://klasma.github.io/Logging_1473/kartor_geotiff/A 58097-2024 georefererad karta.tif", "A 58097-2024")</f>
        <v/>
      </c>
      <c r="AA19">
        <f>HYPERLINK("https://klasma.github.io/Logging_1473/klagomål/A 58097-2024 FSC-klagomål.docx", "A 58097-2024")</f>
        <v/>
      </c>
      <c r="AB19">
        <f>HYPERLINK("https://klasma.github.io/Logging_1473/klagomålsmail/A 58097-2024 FSC-klagomål mail.docx", "A 58097-2024")</f>
        <v/>
      </c>
      <c r="AC19">
        <f>HYPERLINK("https://klasma.github.io/Logging_1473/tillsyn/A 58097-2024 tillsynsbegäran.docx", "A 58097-2024")</f>
        <v/>
      </c>
      <c r="AD19">
        <f>HYPERLINK("https://klasma.github.io/Logging_1473/tillsynsmail/A 58097-2024 tillsynsbegäran mail.docx", "A 58097-2024")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46248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46248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46248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8266-2022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46248</v>
      </c>
      <c r="F23" t="inlineStr">
        <is>
          <t>VÄSTRA GÖTALANDS LÄN</t>
        </is>
      </c>
      <c r="G23" t="inlineStr">
        <is>
          <t>TÖREBODA</t>
        </is>
      </c>
      <c r="H23" t="inlineStr">
        <is>
          <t>Sveaskog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Dofttaggsvamp</t>
        </is>
      </c>
      <c r="W23">
        <f>HYPERLINK("https://klasma.github.io/Logging_1473/artfynd/A 8266-2022 artfynd.xlsx", "A 8266-2022")</f>
        <v/>
      </c>
      <c r="X23">
        <f>HYPERLINK("https://klasma.github.io/Logging_1473/kartor/A 8266-2022 karta.png", "A 8266-2022")</f>
        <v/>
      </c>
      <c r="Y23">
        <f>HYPERLINK("https://klasma.github.io/Logging_1473/kartor_geotiff/A 8266-2022 georefererad karta.tif", "A 8266-2022")</f>
        <v/>
      </c>
      <c r="AA23">
        <f>HYPERLINK("https://klasma.github.io/Logging_1473/klagomål/A 8266-2022 FSC-klagomål.docx", "A 8266-2022")</f>
        <v/>
      </c>
      <c r="AB23">
        <f>HYPERLINK("https://klasma.github.io/Logging_1473/klagomålsmail/A 8266-2022 FSC-klagomål mail.docx", "A 8266-2022")</f>
        <v/>
      </c>
      <c r="AC23">
        <f>HYPERLINK("https://klasma.github.io/Logging_1473/tillsyn/A 8266-2022 tillsynsbegäran.docx", "A 8266-2022")</f>
        <v/>
      </c>
      <c r="AD23">
        <f>HYPERLINK("https://klasma.github.io/Logging_1473/tillsynsmail/A 8266-2022 tillsynsbegäran mail.docx", "A 8266-2022")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46248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46248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17540-2025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45757</v>
      </c>
      <c r="E26" s="1" t="n">
        <v>46248</v>
      </c>
      <c r="F26" t="inlineStr">
        <is>
          <t>VÄSTRA GÖTALANDS LÄN</t>
        </is>
      </c>
      <c r="G26" t="inlineStr">
        <is>
          <t>TÖREBODA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Vattenfladdermus</t>
        </is>
      </c>
      <c r="W26">
        <f>HYPERLINK("https://klasma.github.io/Logging_1473/artfynd/A 17540-2025 artfynd.xlsx", "A 17540-2025")</f>
        <v/>
      </c>
      <c r="X26">
        <f>HYPERLINK("https://klasma.github.io/Logging_1473/kartor/A 17540-2025 karta.png", "A 17540-2025")</f>
        <v/>
      </c>
      <c r="Y26">
        <f>HYPERLINK("https://klasma.github.io/Logging_1473/kartor_geotiff/A 17540-2025 georefererad karta.tif", "A 17540-2025")</f>
        <v/>
      </c>
      <c r="AA26">
        <f>HYPERLINK("https://klasma.github.io/Logging_1473/klagomål/A 17540-2025 FSC-klagomål.docx", "A 17540-2025")</f>
        <v/>
      </c>
      <c r="AB26">
        <f>HYPERLINK("https://klasma.github.io/Logging_1473/klagomålsmail/A 17540-2025 FSC-klagomål mail.docx", "A 17540-2025")</f>
        <v/>
      </c>
      <c r="AC26">
        <f>HYPERLINK("https://klasma.github.io/Logging_1473/tillsyn/A 17540-2025 tillsynsbegäran.docx", "A 17540-2025")</f>
        <v/>
      </c>
      <c r="AD26">
        <f>HYPERLINK("https://klasma.github.io/Logging_1473/tillsynsmail/A 17540-2025 tillsynsbegäran mail.docx", "A 17540-2025")</f>
        <v/>
      </c>
    </row>
    <row r="27" ht="15" customHeight="1">
      <c r="A27" t="inlineStr">
        <is>
          <t>A 14755-2025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45742</v>
      </c>
      <c r="E27" s="1" t="n">
        <v>46248</v>
      </c>
      <c r="F27" t="inlineStr">
        <is>
          <t>VÄSTRA GÖTALANDS LÄN</t>
        </is>
      </c>
      <c r="G27" t="inlineStr">
        <is>
          <t>TÖREBODA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Mattlummer</t>
        </is>
      </c>
      <c r="W27">
        <f>HYPERLINK("https://klasma.github.io/Logging_1473/artfynd/A 14755-2025 artfynd.xlsx", "A 14755-2025")</f>
        <v/>
      </c>
      <c r="X27">
        <f>HYPERLINK("https://klasma.github.io/Logging_1473/kartor/A 14755-2025 karta.png", "A 14755-2025")</f>
        <v/>
      </c>
      <c r="Y27">
        <f>HYPERLINK("https://klasma.github.io/Logging_1473/kartor_geotiff/A 14755-2025 georefererad karta.tif", "A 14755-2025")</f>
        <v/>
      </c>
      <c r="AA27">
        <f>HYPERLINK("https://klasma.github.io/Logging_1473/klagomål/A 14755-2025 FSC-klagomål.docx", "A 14755-2025")</f>
        <v/>
      </c>
      <c r="AB27">
        <f>HYPERLINK("https://klasma.github.io/Logging_1473/klagomålsmail/A 14755-2025 FSC-klagomål mail.docx", "A 14755-2025")</f>
        <v/>
      </c>
      <c r="AC27">
        <f>HYPERLINK("https://klasma.github.io/Logging_1473/tillsyn/A 14755-2025 tillsynsbegäran.docx", "A 14755-2025")</f>
        <v/>
      </c>
      <c r="AD27">
        <f>HYPERLINK("https://klasma.github.io/Logging_1473/tillsynsmail/A 14755-2025 tillsynsbegäran mail.docx", "A 14755-2025")</f>
        <v/>
      </c>
    </row>
    <row r="28" ht="15" customHeight="1">
      <c r="A28" t="inlineStr">
        <is>
          <t>A 12168-2025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46248</v>
      </c>
      <c r="F28" t="inlineStr">
        <is>
          <t>VÄSTRA GÖTALANDS LÄN</t>
        </is>
      </c>
      <c r="G28" t="inlineStr">
        <is>
          <t>TÖREBODA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HYPERLINK("https://klasma.github.io/Logging_1473/artfynd/A 12168-2025 artfynd.xlsx", "A 12168-2025")</f>
        <v/>
      </c>
      <c r="X28">
        <f>HYPERLINK("https://klasma.github.io/Logging_1473/kartor/A 12168-2025 karta.png", "A 12168-2025")</f>
        <v/>
      </c>
      <c r="Y28">
        <f>HYPERLINK("https://klasma.github.io/Logging_1473/kartor_geotiff/A 12168-2025 georefererad karta.tif", "A 12168-2025")</f>
        <v/>
      </c>
      <c r="AA28">
        <f>HYPERLINK("https://klasma.github.io/Logging_1473/klagomål/A 12168-2025 FSC-klagomål.docx", "A 12168-2025")</f>
        <v/>
      </c>
      <c r="AB28">
        <f>HYPERLINK("https://klasma.github.io/Logging_1473/klagomålsmail/A 12168-2025 FSC-klagomål mail.docx", "A 12168-2025")</f>
        <v/>
      </c>
      <c r="AC28">
        <f>HYPERLINK("https://klasma.github.io/Logging_1473/tillsyn/A 12168-2025 tillsynsbegäran.docx", "A 12168-2025")</f>
        <v/>
      </c>
      <c r="AD28">
        <f>HYPERLINK("https://klasma.github.io/Logging_1473/tillsynsmail/A 12168-2025 tillsynsbegäran mail.docx", "A 12168-2025")</f>
        <v/>
      </c>
      <c r="AE28">
        <f>HYPERLINK("https://klasma.github.io/Logging_1473/fåglar/A 12168-2025 prioriterade fågelarter.docx", "A 12168-2025")</f>
        <v/>
      </c>
    </row>
    <row r="29" ht="15" customHeight="1">
      <c r="A29" t="inlineStr">
        <is>
          <t>A 49169-2025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45938</v>
      </c>
      <c r="E29" s="1" t="n">
        <v>46248</v>
      </c>
      <c r="F29" t="inlineStr">
        <is>
          <t>VÄSTRA GÖTALANDS LÄN</t>
        </is>
      </c>
      <c r="G29" t="inlineStr">
        <is>
          <t>TÖREBODA</t>
        </is>
      </c>
      <c r="I29" t="n">
        <v>4.5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49169-2025 artfynd.xlsx", "A 49169-2025")</f>
        <v/>
      </c>
      <c r="X29">
        <f>HYPERLINK("https://klasma.github.io/Logging_1473/kartor/A 49169-2025 karta.png", "A 49169-2025")</f>
        <v/>
      </c>
      <c r="Y29">
        <f>HYPERLINK("https://klasma.github.io/Logging_1473/kartor_geotiff/A 49169-2025 georefererad karta.tif", "A 49169-2025")</f>
        <v/>
      </c>
      <c r="AA29">
        <f>HYPERLINK("https://klasma.github.io/Logging_1473/klagomål/A 49169-2025 FSC-klagomål.docx", "A 49169-2025")</f>
        <v/>
      </c>
      <c r="AB29">
        <f>HYPERLINK("https://klasma.github.io/Logging_1473/klagomålsmail/A 49169-2025 FSC-klagomål mail.docx", "A 49169-2025")</f>
        <v/>
      </c>
      <c r="AC29">
        <f>HYPERLINK("https://klasma.github.io/Logging_1473/tillsyn/A 49169-2025 tillsynsbegäran.docx", "A 49169-2025")</f>
        <v/>
      </c>
      <c r="AD29">
        <f>HYPERLINK("https://klasma.github.io/Logging_1473/tillsynsmail/A 49169-2025 tillsynsbegäran mail.docx", "A 49169-2025")</f>
        <v/>
      </c>
      <c r="AE29">
        <f>HYPERLINK("https://klasma.github.io/Logging_1473/fåglar/A 49169-2025 prioriterade fågelarter.docx", "A 49169-2025")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46248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46248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46248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46248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46248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46248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46248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46248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46248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46248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46248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46248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46248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46248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46248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46248</v>
      </c>
      <c r="F45" t="inlineStr">
        <is>
          <t>VÄSTRA GÖTALANDS LÄN</t>
        </is>
      </c>
      <c r="G45" t="inlineStr">
        <is>
          <t>TÖREBODA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46248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46248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46248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46248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46248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46248</v>
      </c>
      <c r="F51" t="inlineStr">
        <is>
          <t>VÄSTRA GÖTALANDS LÄN</t>
        </is>
      </c>
      <c r="G51" t="inlineStr">
        <is>
          <t>TÖREBODA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46248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44546</v>
      </c>
      <c r="E53" s="1" t="n">
        <v>46248</v>
      </c>
      <c r="F53" t="inlineStr">
        <is>
          <t>VÄSTRA GÖTALANDS LÄN</t>
        </is>
      </c>
      <c r="G53" t="inlineStr">
        <is>
          <t>TÖREBODA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46248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44579</v>
      </c>
      <c r="E55" s="1" t="n">
        <v>46248</v>
      </c>
      <c r="F55" t="inlineStr">
        <is>
          <t>VÄSTRA GÖTALANDS LÄN</t>
        </is>
      </c>
      <c r="G55" t="inlineStr">
        <is>
          <t>TÖREBODA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46248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46248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46248</v>
      </c>
      <c r="F58" t="inlineStr">
        <is>
          <t>VÄSTRA GÖTALANDS LÄN</t>
        </is>
      </c>
      <c r="G58" t="inlineStr">
        <is>
          <t>TÖREBODA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46248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69817-2021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46248</v>
      </c>
      <c r="F60" t="inlineStr">
        <is>
          <t>VÄSTRA GÖTALANDS LÄN</t>
        </is>
      </c>
      <c r="G60" t="inlineStr">
        <is>
          <t>TÖREBODA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46248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46248</v>
      </c>
      <c r="F62" t="inlineStr">
        <is>
          <t>VÄSTRA GÖTALANDS LÄN</t>
        </is>
      </c>
      <c r="G62" t="inlineStr">
        <is>
          <t>TÖREBODA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44614</v>
      </c>
      <c r="E63" s="1" t="n">
        <v>46248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Kyrkan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46248</v>
      </c>
      <c r="F64" t="inlineStr">
        <is>
          <t>VÄSTRA GÖTALANDS LÄN</t>
        </is>
      </c>
      <c r="G64" t="inlineStr">
        <is>
          <t>TÖREBODA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46248</v>
      </c>
      <c r="F65" t="inlineStr">
        <is>
          <t>VÄSTRA GÖTALANDS LÄN</t>
        </is>
      </c>
      <c r="G65" t="inlineStr">
        <is>
          <t>TÖREBODA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44956</v>
      </c>
      <c r="E66" s="1" t="n">
        <v>46248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11680-2024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45373</v>
      </c>
      <c r="E67" s="1" t="n">
        <v>46248</v>
      </c>
      <c r="F67" t="inlineStr">
        <is>
          <t>VÄSTRA GÖTALANDS LÄN</t>
        </is>
      </c>
      <c r="G67" t="inlineStr">
        <is>
          <t>TÖREBODA</t>
        </is>
      </c>
      <c r="I67" t="n">
        <v>12.3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45051</v>
      </c>
      <c r="E68" s="1" t="n">
        <v>46248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9655-2023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44978</v>
      </c>
      <c r="E69" s="1" t="n">
        <v>46248</v>
      </c>
      <c r="F69" t="inlineStr">
        <is>
          <t>VÄSTRA GÖTALANDS LÄN</t>
        </is>
      </c>
      <c r="G69" t="inlineStr">
        <is>
          <t>TÖREBODA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44924</v>
      </c>
      <c r="E70" s="1" t="n">
        <v>46248</v>
      </c>
      <c r="F70" t="inlineStr">
        <is>
          <t>VÄSTRA GÖTALANDS LÄN</t>
        </is>
      </c>
      <c r="G70" t="inlineStr">
        <is>
          <t>TÖREBODA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46248</v>
      </c>
      <c r="F71" t="inlineStr">
        <is>
          <t>VÄSTRA GÖTALANDS LÄN</t>
        </is>
      </c>
      <c r="G71" t="inlineStr">
        <is>
          <t>TÖREBODA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45627</v>
      </c>
      <c r="E72" s="1" t="n">
        <v>46248</v>
      </c>
      <c r="F72" t="inlineStr">
        <is>
          <t>VÄSTRA GÖTALANDS LÄN</t>
        </is>
      </c>
      <c r="G72" t="inlineStr">
        <is>
          <t>TÖREBODA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46248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44756</v>
      </c>
      <c r="E74" s="1" t="n">
        <v>46248</v>
      </c>
      <c r="F74" t="inlineStr">
        <is>
          <t>VÄSTRA GÖTALANDS LÄN</t>
        </is>
      </c>
      <c r="G74" t="inlineStr">
        <is>
          <t>TÖREBODA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44987</v>
      </c>
      <c r="E75" s="1" t="n">
        <v>46248</v>
      </c>
      <c r="F75" t="inlineStr">
        <is>
          <t>VÄSTRA GÖTALANDS LÄN</t>
        </is>
      </c>
      <c r="G75" t="inlineStr">
        <is>
          <t>TÖREBODA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46248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46248</v>
      </c>
      <c r="F77" t="inlineStr">
        <is>
          <t>VÄSTRA GÖTALANDS LÄN</t>
        </is>
      </c>
      <c r="G77" t="inlineStr">
        <is>
          <t>TÖREBODA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46248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34865-2023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45142</v>
      </c>
      <c r="E79" s="1" t="n">
        <v>46248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45699</v>
      </c>
      <c r="E80" s="1" t="n">
        <v>46248</v>
      </c>
      <c r="F80" t="inlineStr">
        <is>
          <t>VÄSTRA GÖTALANDS LÄN</t>
        </is>
      </c>
      <c r="G80" t="inlineStr">
        <is>
          <t>TÖREBODA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46248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46248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Aktiebolag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46248</v>
      </c>
      <c r="F83" t="inlineStr">
        <is>
          <t>VÄSTRA GÖTALANDS LÄN</t>
        </is>
      </c>
      <c r="G83" t="inlineStr">
        <is>
          <t>TÖREBODA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46248</v>
      </c>
      <c r="F84" t="inlineStr">
        <is>
          <t>VÄSTRA GÖTALANDS LÄN</t>
        </is>
      </c>
      <c r="G84" t="inlineStr">
        <is>
          <t>TÖREBODA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46248</v>
      </c>
      <c r="F85" t="inlineStr">
        <is>
          <t>VÄSTRA GÖTALANDS LÄN</t>
        </is>
      </c>
      <c r="G85" t="inlineStr">
        <is>
          <t>TÖREBODA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45552</v>
      </c>
      <c r="E86" s="1" t="n">
        <v>46248</v>
      </c>
      <c r="F86" t="inlineStr">
        <is>
          <t>VÄSTRA GÖTALANDS LÄN</t>
        </is>
      </c>
      <c r="G86" t="inlineStr">
        <is>
          <t>TÖREBODA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46248</v>
      </c>
      <c r="F87" t="inlineStr">
        <is>
          <t>VÄSTRA GÖTALANDS LÄN</t>
        </is>
      </c>
      <c r="G87" t="inlineStr">
        <is>
          <t>TÖREBODA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46248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46248</v>
      </c>
      <c r="F89" t="inlineStr">
        <is>
          <t>VÄSTRA GÖTALANDS LÄN</t>
        </is>
      </c>
      <c r="G89" t="inlineStr">
        <is>
          <t>TÖREBODA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46248</v>
      </c>
      <c r="F90" t="inlineStr">
        <is>
          <t>VÄSTRA GÖTALANDS LÄN</t>
        </is>
      </c>
      <c r="G90" t="inlineStr">
        <is>
          <t>TÖREBODA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46248</v>
      </c>
      <c r="F91" t="inlineStr">
        <is>
          <t>VÄSTRA GÖTALANDS LÄN</t>
        </is>
      </c>
      <c r="G91" t="inlineStr">
        <is>
          <t>TÖREBODA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44664</v>
      </c>
      <c r="E92" s="1" t="n">
        <v>46248</v>
      </c>
      <c r="F92" t="inlineStr">
        <is>
          <t>VÄSTRA GÖTALANDS LÄN</t>
        </is>
      </c>
      <c r="G92" t="inlineStr">
        <is>
          <t>TÖREBODA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45556</v>
      </c>
      <c r="E93" s="1" t="n">
        <v>46248</v>
      </c>
      <c r="F93" t="inlineStr">
        <is>
          <t>VÄSTRA GÖTALANDS LÄN</t>
        </is>
      </c>
      <c r="G93" t="inlineStr">
        <is>
          <t>TÖREBODA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46248</v>
      </c>
      <c r="F94" t="inlineStr">
        <is>
          <t>VÄSTRA GÖTALANDS LÄN</t>
        </is>
      </c>
      <c r="G94" t="inlineStr">
        <is>
          <t>TÖREBODA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45344</v>
      </c>
      <c r="E95" s="1" t="n">
        <v>46248</v>
      </c>
      <c r="F95" t="inlineStr">
        <is>
          <t>VÄSTRA GÖTALANDS LÄN</t>
        </is>
      </c>
      <c r="G95" t="inlineStr">
        <is>
          <t>TÖREBODA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46248</v>
      </c>
      <c r="F96" t="inlineStr">
        <is>
          <t>VÄSTRA GÖTALANDS LÄN</t>
        </is>
      </c>
      <c r="G96" t="inlineStr">
        <is>
          <t>TÖREBODA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45651</v>
      </c>
      <c r="E97" s="1" t="n">
        <v>46248</v>
      </c>
      <c r="F97" t="inlineStr">
        <is>
          <t>VÄSTRA GÖTALANDS LÄN</t>
        </is>
      </c>
      <c r="G97" t="inlineStr">
        <is>
          <t>TÖREBODA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46248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44816</v>
      </c>
      <c r="E99" s="1" t="n">
        <v>46248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46248</v>
      </c>
      <c r="F100" t="inlineStr">
        <is>
          <t>VÄSTRA GÖTALANDS LÄN</t>
        </is>
      </c>
      <c r="G100" t="inlineStr">
        <is>
          <t>TÖREBODA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46248</v>
      </c>
      <c r="F101" t="inlineStr">
        <is>
          <t>VÄSTRA GÖTALANDS LÄN</t>
        </is>
      </c>
      <c r="G101" t="inlineStr">
        <is>
          <t>TÖREBODA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46248</v>
      </c>
      <c r="F102" t="inlineStr">
        <is>
          <t>VÄSTRA GÖTALANDS LÄN</t>
        </is>
      </c>
      <c r="G102" t="inlineStr">
        <is>
          <t>TÖREBODA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46248</v>
      </c>
      <c r="F103" t="inlineStr">
        <is>
          <t>VÄSTRA GÖTALANDS LÄN</t>
        </is>
      </c>
      <c r="G103" t="inlineStr">
        <is>
          <t>TÖREBODA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17360-2024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46248</v>
      </c>
      <c r="F104" t="inlineStr">
        <is>
          <t>VÄSTRA GÖTALANDS LÄN</t>
        </is>
      </c>
      <c r="G104" t="inlineStr">
        <is>
          <t>TÖREBODA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44907</v>
      </c>
      <c r="E105" s="1" t="n">
        <v>46248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45309</v>
      </c>
      <c r="E106" s="1" t="n">
        <v>46248</v>
      </c>
      <c r="F106" t="inlineStr">
        <is>
          <t>VÄSTRA GÖTALANDS LÄN</t>
        </is>
      </c>
      <c r="G106" t="inlineStr">
        <is>
          <t>TÖREBODA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46248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Kommuner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46248</v>
      </c>
      <c r="F108" t="inlineStr">
        <is>
          <t>VÄSTRA GÖTALANDS LÄN</t>
        </is>
      </c>
      <c r="G108" t="inlineStr">
        <is>
          <t>TÖREBODA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42109-2024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45562</v>
      </c>
      <c r="E109" s="1" t="n">
        <v>46248</v>
      </c>
      <c r="F109" t="inlineStr">
        <is>
          <t>VÄSTRA GÖTALANDS LÄN</t>
        </is>
      </c>
      <c r="G109" t="inlineStr">
        <is>
          <t>TÖREBODA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46248</v>
      </c>
      <c r="F110" t="inlineStr">
        <is>
          <t>VÄSTRA GÖTALANDS LÄN</t>
        </is>
      </c>
      <c r="G110" t="inlineStr">
        <is>
          <t>TÖREBODA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46248</v>
      </c>
      <c r="F111" t="inlineStr">
        <is>
          <t>VÄSTRA GÖTALANDS LÄN</t>
        </is>
      </c>
      <c r="G111" t="inlineStr">
        <is>
          <t>TÖREBODA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46248</v>
      </c>
      <c r="F112" t="inlineStr">
        <is>
          <t>VÄSTRA GÖTALANDS LÄN</t>
        </is>
      </c>
      <c r="G112" t="inlineStr">
        <is>
          <t>TÖREBODA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45531</v>
      </c>
      <c r="E113" s="1" t="n">
        <v>46248</v>
      </c>
      <c r="F113" t="inlineStr">
        <is>
          <t>VÄSTRA GÖTALANDS LÄN</t>
        </is>
      </c>
      <c r="G113" t="inlineStr">
        <is>
          <t>TÖREBODA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46248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46248</v>
      </c>
      <c r="F115" t="inlineStr">
        <is>
          <t>VÄSTRA GÖTALANDS LÄN</t>
        </is>
      </c>
      <c r="G115" t="inlineStr">
        <is>
          <t>TÖREBODA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46248</v>
      </c>
      <c r="F116" t="inlineStr">
        <is>
          <t>VÄSTRA GÖTALANDS LÄN</t>
        </is>
      </c>
      <c r="G116" t="inlineStr">
        <is>
          <t>TÖREBODA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46248</v>
      </c>
      <c r="F117" t="inlineStr">
        <is>
          <t>VÄSTRA GÖTALANDS LÄN</t>
        </is>
      </c>
      <c r="G117" t="inlineStr">
        <is>
          <t>TÖREBODA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46248</v>
      </c>
      <c r="F118" t="inlineStr">
        <is>
          <t>VÄSTRA GÖTALANDS LÄN</t>
        </is>
      </c>
      <c r="G118" t="inlineStr">
        <is>
          <t>TÖREBODA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45450</v>
      </c>
      <c r="E119" s="1" t="n">
        <v>46248</v>
      </c>
      <c r="F119" t="inlineStr">
        <is>
          <t>VÄSTRA GÖTALANDS LÄN</t>
        </is>
      </c>
      <c r="G119" t="inlineStr">
        <is>
          <t>TÖREBODA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46248</v>
      </c>
      <c r="F120" t="inlineStr">
        <is>
          <t>VÄSTRA GÖTALANDS LÄN</t>
        </is>
      </c>
      <c r="G120" t="inlineStr">
        <is>
          <t>TÖREBODA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45485</v>
      </c>
      <c r="E121" s="1" t="n">
        <v>46248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46248</v>
      </c>
      <c r="F122" t="inlineStr">
        <is>
          <t>VÄSTRA GÖTALANDS LÄN</t>
        </is>
      </c>
      <c r="G122" t="inlineStr">
        <is>
          <t>TÖREBODA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46248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46248</v>
      </c>
      <c r="F124" t="inlineStr">
        <is>
          <t>VÄSTRA GÖTALANDS LÄN</t>
        </is>
      </c>
      <c r="G124" t="inlineStr">
        <is>
          <t>TÖREBODA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46248</v>
      </c>
      <c r="F125" t="inlineStr">
        <is>
          <t>VÄSTRA GÖTALANDS LÄN</t>
        </is>
      </c>
      <c r="G125" t="inlineStr">
        <is>
          <t>TÖREBODA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45082</v>
      </c>
      <c r="E126" s="1" t="n">
        <v>46248</v>
      </c>
      <c r="F126" t="inlineStr">
        <is>
          <t>VÄSTRA GÖTALANDS LÄN</t>
        </is>
      </c>
      <c r="G126" t="inlineStr">
        <is>
          <t>TÖREBODA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45405</v>
      </c>
      <c r="E127" s="1" t="n">
        <v>46248</v>
      </c>
      <c r="F127" t="inlineStr">
        <is>
          <t>VÄSTRA GÖTALANDS LÄN</t>
        </is>
      </c>
      <c r="G127" t="inlineStr">
        <is>
          <t>TÖREBODA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46248</v>
      </c>
      <c r="F128" t="inlineStr">
        <is>
          <t>VÄSTRA GÖTALANDS LÄN</t>
        </is>
      </c>
      <c r="G128" t="inlineStr">
        <is>
          <t>TÖREBODA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46248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46248</v>
      </c>
      <c r="F130" t="inlineStr">
        <is>
          <t>VÄSTRA GÖTALANDS LÄN</t>
        </is>
      </c>
      <c r="G130" t="inlineStr">
        <is>
          <t>TÖREBODA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46248</v>
      </c>
      <c r="F131" t="inlineStr">
        <is>
          <t>VÄSTRA GÖTALANDS LÄN</t>
        </is>
      </c>
      <c r="G131" t="inlineStr">
        <is>
          <t>TÖREBODA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46248</v>
      </c>
      <c r="F132" t="inlineStr">
        <is>
          <t>VÄSTRA GÖTALANDS LÄN</t>
        </is>
      </c>
      <c r="G132" t="inlineStr">
        <is>
          <t>TÖREBODA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46248</v>
      </c>
      <c r="F133" t="inlineStr">
        <is>
          <t>VÄSTRA GÖTALANDS LÄN</t>
        </is>
      </c>
      <c r="G133" t="inlineStr">
        <is>
          <t>TÖREBODA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46248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44858</v>
      </c>
      <c r="E135" s="1" t="n">
        <v>46248</v>
      </c>
      <c r="F135" t="inlineStr">
        <is>
          <t>VÄSTRA GÖTALANDS LÄN</t>
        </is>
      </c>
      <c r="G135" t="inlineStr">
        <is>
          <t>TÖREBODA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46248</v>
      </c>
      <c r="F136" t="inlineStr">
        <is>
          <t>VÄSTRA GÖTALANDS LÄN</t>
        </is>
      </c>
      <c r="G136" t="inlineStr">
        <is>
          <t>TÖREBODA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46248</v>
      </c>
      <c r="F137" t="inlineStr">
        <is>
          <t>VÄSTRA GÖTALANDS LÄN</t>
        </is>
      </c>
      <c r="G137" t="inlineStr">
        <is>
          <t>TÖREBODA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45349</v>
      </c>
      <c r="E138" s="1" t="n">
        <v>46248</v>
      </c>
      <c r="F138" t="inlineStr">
        <is>
          <t>VÄSTRA GÖTALANDS LÄN</t>
        </is>
      </c>
      <c r="G138" t="inlineStr">
        <is>
          <t>TÖREBODA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64799-2023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46248</v>
      </c>
      <c r="F139" t="inlineStr">
        <is>
          <t>VÄSTRA GÖTALANDS LÄN</t>
        </is>
      </c>
      <c r="G139" t="inlineStr">
        <is>
          <t>TÖREBODA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55285-2023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46248</v>
      </c>
      <c r="F140" t="inlineStr">
        <is>
          <t>VÄSTRA GÖTALANDS LÄN</t>
        </is>
      </c>
      <c r="G140" t="inlineStr">
        <is>
          <t>TÖREBODA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46248</v>
      </c>
      <c r="F141" t="inlineStr">
        <is>
          <t>VÄSTRA GÖTALANDS LÄN</t>
        </is>
      </c>
      <c r="G141" t="inlineStr">
        <is>
          <t>TÖREBODA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46248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46248</v>
      </c>
      <c r="F143" t="inlineStr">
        <is>
          <t>VÄSTRA GÖTALANDS LÄN</t>
        </is>
      </c>
      <c r="G143" t="inlineStr">
        <is>
          <t>TÖREBODA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44988</v>
      </c>
      <c r="E144" s="1" t="n">
        <v>46248</v>
      </c>
      <c r="F144" t="inlineStr">
        <is>
          <t>VÄSTRA GÖTALANDS LÄN</t>
        </is>
      </c>
      <c r="G144" t="inlineStr">
        <is>
          <t>TÖREBODA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44987</v>
      </c>
      <c r="E145" s="1" t="n">
        <v>46248</v>
      </c>
      <c r="F145" t="inlineStr">
        <is>
          <t>VÄSTRA GÖTALANDS LÄN</t>
        </is>
      </c>
      <c r="G145" t="inlineStr">
        <is>
          <t>TÖREBODA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46248</v>
      </c>
      <c r="F146" t="inlineStr">
        <is>
          <t>VÄSTRA GÖTALANDS LÄN</t>
        </is>
      </c>
      <c r="G146" t="inlineStr">
        <is>
          <t>TÖREBODA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46248</v>
      </c>
      <c r="F147" t="inlineStr">
        <is>
          <t>VÄSTRA GÖTALANDS LÄN</t>
        </is>
      </c>
      <c r="G147" t="inlineStr">
        <is>
          <t>TÖREBODA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46248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44901</v>
      </c>
      <c r="E149" s="1" t="n">
        <v>46248</v>
      </c>
      <c r="F149" t="inlineStr">
        <is>
          <t>VÄSTRA GÖTALANDS LÄN</t>
        </is>
      </c>
      <c r="G149" t="inlineStr">
        <is>
          <t>TÖREBODA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46248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46248</v>
      </c>
      <c r="F151" t="inlineStr">
        <is>
          <t>VÄSTRA GÖTALANDS LÄN</t>
        </is>
      </c>
      <c r="G151" t="inlineStr">
        <is>
          <t>TÖREBODA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46248</v>
      </c>
      <c r="F152" t="inlineStr">
        <is>
          <t>VÄSTRA GÖTALANDS LÄN</t>
        </is>
      </c>
      <c r="G152" t="inlineStr">
        <is>
          <t>TÖREBODA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46248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46248</v>
      </c>
      <c r="F154" t="inlineStr">
        <is>
          <t>VÄSTRA GÖTALANDS LÄN</t>
        </is>
      </c>
      <c r="G154" t="inlineStr">
        <is>
          <t>TÖREBODA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45425</v>
      </c>
      <c r="E155" s="1" t="n">
        <v>46248</v>
      </c>
      <c r="F155" t="inlineStr">
        <is>
          <t>VÄSTRA GÖTALANDS LÄN</t>
        </is>
      </c>
      <c r="G155" t="inlineStr">
        <is>
          <t>TÖREBODA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46248</v>
      </c>
      <c r="F156" t="inlineStr">
        <is>
          <t>VÄSTRA GÖTALANDS LÄN</t>
        </is>
      </c>
      <c r="G156" t="inlineStr">
        <is>
          <t>TÖREBODA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46248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46248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Aktiebolag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46248</v>
      </c>
      <c r="F159" t="inlineStr">
        <is>
          <t>VÄSTRA GÖTALANDS LÄN</t>
        </is>
      </c>
      <c r="G159" t="inlineStr">
        <is>
          <t>TÖREBODA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46248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Övriga statliga verk och myndigheter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46248</v>
      </c>
      <c r="F161" t="inlineStr">
        <is>
          <t>VÄSTRA GÖTALANDS LÄN</t>
        </is>
      </c>
      <c r="G161" t="inlineStr">
        <is>
          <t>TÖREBODA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46248</v>
      </c>
      <c r="F162" t="inlineStr">
        <is>
          <t>VÄSTRA GÖTALANDS LÄN</t>
        </is>
      </c>
      <c r="G162" t="inlineStr">
        <is>
          <t>TÖREBODA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46248</v>
      </c>
      <c r="F163" t="inlineStr">
        <is>
          <t>VÄSTRA GÖTALANDS LÄN</t>
        </is>
      </c>
      <c r="G163" t="inlineStr">
        <is>
          <t>TÖREBODA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46248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44792</v>
      </c>
      <c r="E165" s="1" t="n">
        <v>46248</v>
      </c>
      <c r="F165" t="inlineStr">
        <is>
          <t>VÄSTRA GÖTALANDS LÄN</t>
        </is>
      </c>
      <c r="G165" t="inlineStr">
        <is>
          <t>TÖREBODA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46248</v>
      </c>
      <c r="F166" t="inlineStr">
        <is>
          <t>VÄSTRA GÖTALANDS LÄN</t>
        </is>
      </c>
      <c r="G166" t="inlineStr">
        <is>
          <t>TÖREBODA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46248</v>
      </c>
      <c r="F167" t="inlineStr">
        <is>
          <t>VÄSTRA GÖTALANDS LÄN</t>
        </is>
      </c>
      <c r="G167" t="inlineStr">
        <is>
          <t>TÖREBODA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45322</v>
      </c>
      <c r="E168" s="1" t="n">
        <v>46248</v>
      </c>
      <c r="F168" t="inlineStr">
        <is>
          <t>VÄSTRA GÖTALANDS LÄN</t>
        </is>
      </c>
      <c r="G168" t="inlineStr">
        <is>
          <t>TÖREBODA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46248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Övriga statliga verk och myndigheter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44782</v>
      </c>
      <c r="E170" s="1" t="n">
        <v>46248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11683-2024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45373</v>
      </c>
      <c r="E171" s="1" t="n">
        <v>46248</v>
      </c>
      <c r="F171" t="inlineStr">
        <is>
          <t>VÄSTRA GÖTALANDS LÄN</t>
        </is>
      </c>
      <c r="G171" t="inlineStr">
        <is>
          <t>TÖREBODA</t>
        </is>
      </c>
      <c r="I171" t="n">
        <v>23.8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45457</v>
      </c>
      <c r="E172" s="1" t="n">
        <v>46248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Övriga statliga verk och myndigheter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46248</v>
      </c>
      <c r="F173" t="inlineStr">
        <is>
          <t>VÄSTRA GÖTALANDS LÄN</t>
        </is>
      </c>
      <c r="G173" t="inlineStr">
        <is>
          <t>TÖREBODA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46248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Övriga statliga verk och myndigheter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56273-2022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44890</v>
      </c>
      <c r="E175" s="1" t="n">
        <v>46248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44868</v>
      </c>
      <c r="E176" s="1" t="n">
        <v>46248</v>
      </c>
      <c r="F176" t="inlineStr">
        <is>
          <t>VÄSTRA GÖTALANDS LÄN</t>
        </is>
      </c>
      <c r="G176" t="inlineStr">
        <is>
          <t>TÖREBODA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44950</v>
      </c>
      <c r="E177" s="1" t="n">
        <v>46248</v>
      </c>
      <c r="F177" t="inlineStr">
        <is>
          <t>VÄSTRA GÖTALANDS LÄN</t>
        </is>
      </c>
      <c r="G177" t="inlineStr">
        <is>
          <t>TÖREBODA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44740</v>
      </c>
      <c r="E178" s="1" t="n">
        <v>46248</v>
      </c>
      <c r="F178" t="inlineStr">
        <is>
          <t>VÄSTRA GÖTALANDS LÄN</t>
        </is>
      </c>
      <c r="G178" t="inlineStr">
        <is>
          <t>TÖREBODA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46248</v>
      </c>
      <c r="F179" t="inlineStr">
        <is>
          <t>VÄSTRA GÖTALANDS LÄN</t>
        </is>
      </c>
      <c r="G179" t="inlineStr">
        <is>
          <t>TÖREBODA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45049</v>
      </c>
      <c r="E180" s="1" t="n">
        <v>46248</v>
      </c>
      <c r="F180" t="inlineStr">
        <is>
          <t>VÄSTRA GÖTALANDS LÄN</t>
        </is>
      </c>
      <c r="G180" t="inlineStr">
        <is>
          <t>TÖREBODA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45750</v>
      </c>
      <c r="E181" s="1" t="n">
        <v>46248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56831-2022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44894</v>
      </c>
      <c r="E182" s="1" t="n">
        <v>46248</v>
      </c>
      <c r="F182" t="inlineStr">
        <is>
          <t>VÄSTRA GÖTALANDS LÄN</t>
        </is>
      </c>
      <c r="G182" t="inlineStr">
        <is>
          <t>TÖREBODA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45627</v>
      </c>
      <c r="E183" s="1" t="n">
        <v>46248</v>
      </c>
      <c r="F183" t="inlineStr">
        <is>
          <t>VÄSTRA GÖTALANDS LÄN</t>
        </is>
      </c>
      <c r="G183" t="inlineStr">
        <is>
          <t>TÖREBODA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45246</v>
      </c>
      <c r="E184" s="1" t="n">
        <v>46248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46248</v>
      </c>
      <c r="F185" t="inlineStr">
        <is>
          <t>VÄSTRA GÖTALANDS LÄN</t>
        </is>
      </c>
      <c r="G185" t="inlineStr">
        <is>
          <t>TÖREBODA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45481</v>
      </c>
      <c r="E186" s="1" t="n">
        <v>46248</v>
      </c>
      <c r="F186" t="inlineStr">
        <is>
          <t>VÄSTRA GÖTALANDS LÄN</t>
        </is>
      </c>
      <c r="G186" t="inlineStr">
        <is>
          <t>TÖREBODA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45350</v>
      </c>
      <c r="E187" s="1" t="n">
        <v>46248</v>
      </c>
      <c r="F187" t="inlineStr">
        <is>
          <t>VÄSTRA GÖTALANDS LÄN</t>
        </is>
      </c>
      <c r="G187" t="inlineStr">
        <is>
          <t>TÖREBODA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46248</v>
      </c>
      <c r="F188" t="inlineStr">
        <is>
          <t>VÄSTRA GÖTALANDS LÄN</t>
        </is>
      </c>
      <c r="G188" t="inlineStr">
        <is>
          <t>TÖREBODA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45133</v>
      </c>
      <c r="E189" s="1" t="n">
        <v>46248</v>
      </c>
      <c r="F189" t="inlineStr">
        <is>
          <t>VÄSTRA GÖTALANDS LÄN</t>
        </is>
      </c>
      <c r="G189" t="inlineStr">
        <is>
          <t>TÖREBODA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46248</v>
      </c>
      <c r="F190" t="inlineStr">
        <is>
          <t>VÄSTRA GÖTALANDS LÄN</t>
        </is>
      </c>
      <c r="G190" t="inlineStr">
        <is>
          <t>TÖREBODA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46248</v>
      </c>
      <c r="F191" t="inlineStr">
        <is>
          <t>VÄSTRA GÖTALANDS LÄN</t>
        </is>
      </c>
      <c r="G191" t="inlineStr">
        <is>
          <t>TÖREBODA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4194-2024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45324</v>
      </c>
      <c r="E192" s="1" t="n">
        <v>46248</v>
      </c>
      <c r="F192" t="inlineStr">
        <is>
          <t>VÄSTRA GÖTALANDS LÄN</t>
        </is>
      </c>
      <c r="G192" t="inlineStr">
        <is>
          <t>TÖREBODA</t>
        </is>
      </c>
      <c r="I192" t="n">
        <v>28.9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57225-2021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44483</v>
      </c>
      <c r="E193" s="1" t="n">
        <v>46248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46248</v>
      </c>
      <c r="F194" t="inlineStr">
        <is>
          <t>VÄSTRA GÖTALANDS LÄN</t>
        </is>
      </c>
      <c r="G194" t="inlineStr">
        <is>
          <t>TÖREBODA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46248</v>
      </c>
      <c r="F195" t="inlineStr">
        <is>
          <t>VÄSTRA GÖTALANDS LÄN</t>
        </is>
      </c>
      <c r="G195" t="inlineStr">
        <is>
          <t>TÖREBODA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41627-2022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44827</v>
      </c>
      <c r="E196" s="1" t="n">
        <v>46248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41632-2022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44827</v>
      </c>
      <c r="E197" s="1" t="n">
        <v>46248</v>
      </c>
      <c r="F197" t="inlineStr">
        <is>
          <t>VÄSTRA GÖTALANDS LÄN</t>
        </is>
      </c>
      <c r="G197" t="inlineStr">
        <is>
          <t>TÖREBODA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46248</v>
      </c>
      <c r="F198" t="inlineStr">
        <is>
          <t>VÄSTRA GÖTALANDS LÄN</t>
        </is>
      </c>
      <c r="G198" t="inlineStr">
        <is>
          <t>TÖREBODA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45811</v>
      </c>
      <c r="E199" s="1" t="n">
        <v>46248</v>
      </c>
      <c r="F199" t="inlineStr">
        <is>
          <t>VÄSTRA GÖTALANDS LÄN</t>
        </is>
      </c>
      <c r="G199" t="inlineStr">
        <is>
          <t>TÖREBODA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46248</v>
      </c>
      <c r="F200" t="inlineStr">
        <is>
          <t>VÄSTRA GÖTALANDS LÄN</t>
        </is>
      </c>
      <c r="G200" t="inlineStr">
        <is>
          <t>TÖREBODA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46248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44698</v>
      </c>
      <c r="E202" s="1" t="n">
        <v>46248</v>
      </c>
      <c r="F202" t="inlineStr">
        <is>
          <t>VÄSTRA GÖTALANDS LÄN</t>
        </is>
      </c>
      <c r="G202" t="inlineStr">
        <is>
          <t>TÖREBODA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45885</v>
      </c>
      <c r="E203" s="1" t="n">
        <v>46248</v>
      </c>
      <c r="F203" t="inlineStr">
        <is>
          <t>VÄSTRA GÖTALANDS LÄN</t>
        </is>
      </c>
      <c r="G203" t="inlineStr">
        <is>
          <t>TÖREBODA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45885</v>
      </c>
      <c r="E204" s="1" t="n">
        <v>46248</v>
      </c>
      <c r="F204" t="inlineStr">
        <is>
          <t>VÄSTRA GÖTALANDS LÄN</t>
        </is>
      </c>
      <c r="G204" t="inlineStr">
        <is>
          <t>TÖREBODA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46248</v>
      </c>
      <c r="F205" t="inlineStr">
        <is>
          <t>VÄSTRA GÖTALANDS LÄN</t>
        </is>
      </c>
      <c r="G205" t="inlineStr">
        <is>
          <t>TÖREBODA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45552</v>
      </c>
      <c r="E206" s="1" t="n">
        <v>46248</v>
      </c>
      <c r="F206" t="inlineStr">
        <is>
          <t>VÄSTRA GÖTALANDS LÄN</t>
        </is>
      </c>
      <c r="G206" t="inlineStr">
        <is>
          <t>TÖREBODA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46248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45885</v>
      </c>
      <c r="E208" s="1" t="n">
        <v>46248</v>
      </c>
      <c r="F208" t="inlineStr">
        <is>
          <t>VÄSTRA GÖTALANDS LÄN</t>
        </is>
      </c>
      <c r="G208" t="inlineStr">
        <is>
          <t>TÖREBODA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46248</v>
      </c>
      <c r="F209" t="inlineStr">
        <is>
          <t>VÄSTRA GÖTALANDS LÄN</t>
        </is>
      </c>
      <c r="G209" t="inlineStr">
        <is>
          <t>TÖREBODA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44907</v>
      </c>
      <c r="E210" s="1" t="n">
        <v>46248</v>
      </c>
      <c r="F210" t="inlineStr">
        <is>
          <t>VÄSTRA GÖTALANDS LÄN</t>
        </is>
      </c>
      <c r="G210" t="inlineStr">
        <is>
          <t>TÖREBODA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46248</v>
      </c>
      <c r="F211" t="inlineStr">
        <is>
          <t>VÄSTRA GÖTALANDS LÄN</t>
        </is>
      </c>
      <c r="G211" t="inlineStr">
        <is>
          <t>TÖREBODA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46248</v>
      </c>
      <c r="F212" t="inlineStr">
        <is>
          <t>VÄSTRA GÖTALANDS LÄN</t>
        </is>
      </c>
      <c r="G212" t="inlineStr">
        <is>
          <t>TÖREBODA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46248</v>
      </c>
      <c r="F213" t="inlineStr">
        <is>
          <t>VÄSTRA GÖTALANDS LÄN</t>
        </is>
      </c>
      <c r="G213" t="inlineStr">
        <is>
          <t>TÖREBODA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46248</v>
      </c>
      <c r="F214" t="inlineStr">
        <is>
          <t>VÄSTRA GÖTALANDS LÄN</t>
        </is>
      </c>
      <c r="G214" t="inlineStr">
        <is>
          <t>TÖREBODA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46248</v>
      </c>
      <c r="F215" t="inlineStr">
        <is>
          <t>VÄSTRA GÖTALANDS LÄN</t>
        </is>
      </c>
      <c r="G215" t="inlineStr">
        <is>
          <t>TÖREBODA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44951</v>
      </c>
      <c r="E216" s="1" t="n">
        <v>46248</v>
      </c>
      <c r="F216" t="inlineStr">
        <is>
          <t>VÄSTRA GÖTALANDS LÄN</t>
        </is>
      </c>
      <c r="G216" t="inlineStr">
        <is>
          <t>TÖREBODA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46248</v>
      </c>
      <c r="F217" t="inlineStr">
        <is>
          <t>VÄSTRA GÖTALANDS LÄN</t>
        </is>
      </c>
      <c r="G217" t="inlineStr">
        <is>
          <t>TÖREBODA</t>
        </is>
      </c>
      <c r="I217" t="n">
        <v>49.4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46248</v>
      </c>
      <c r="F218" t="inlineStr">
        <is>
          <t>VÄSTRA GÖTALANDS LÄN</t>
        </is>
      </c>
      <c r="G218" t="inlineStr">
        <is>
          <t>TÖREBODA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46248</v>
      </c>
      <c r="F219" t="inlineStr">
        <is>
          <t>VÄSTRA GÖTALANDS LÄN</t>
        </is>
      </c>
      <c r="G219" t="inlineStr">
        <is>
          <t>TÖREBODA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46248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Övriga statliga verk och myndigheter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46248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Övriga statliga verk och myndigheter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46248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46248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Övriga statliga verk och myndigheter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46248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46248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46248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44571</v>
      </c>
      <c r="E227" s="1" t="n">
        <v>46248</v>
      </c>
      <c r="F227" t="inlineStr">
        <is>
          <t>VÄSTRA GÖTALANDS LÄN</t>
        </is>
      </c>
      <c r="G227" t="inlineStr">
        <is>
          <t>TÖREBODA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45764</v>
      </c>
      <c r="E228" s="1" t="n">
        <v>46248</v>
      </c>
      <c r="F228" t="inlineStr">
        <is>
          <t>VÄSTRA GÖTALANDS LÄN</t>
        </is>
      </c>
      <c r="G228" t="inlineStr">
        <is>
          <t>TÖREBODA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46248</v>
      </c>
      <c r="F229" t="inlineStr">
        <is>
          <t>VÄSTRA GÖTALANDS LÄN</t>
        </is>
      </c>
      <c r="G229" t="inlineStr">
        <is>
          <t>TÖREBODA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46248</v>
      </c>
      <c r="F230" t="inlineStr">
        <is>
          <t>VÄSTRA GÖTALANDS LÄN</t>
        </is>
      </c>
      <c r="G230" t="inlineStr">
        <is>
          <t>TÖREBODA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20471-2026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46248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54621-2021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46248</v>
      </c>
      <c r="F232" t="inlineStr">
        <is>
          <t>VÄSTRA GÖTALANDS LÄN</t>
        </is>
      </c>
      <c r="G232" t="inlineStr">
        <is>
          <t>TÖREBODA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46248</v>
      </c>
      <c r="F233" t="inlineStr">
        <is>
          <t>VÄSTRA GÖTALANDS LÄN</t>
        </is>
      </c>
      <c r="G233" t="inlineStr">
        <is>
          <t>TÖREBODA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46248</v>
      </c>
      <c r="F234" t="inlineStr">
        <is>
          <t>VÄSTRA GÖTALANDS LÄN</t>
        </is>
      </c>
      <c r="G234" t="inlineStr">
        <is>
          <t>TÖREBODA</t>
        </is>
      </c>
      <c r="I234" t="n">
        <v>8.199999999999999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46248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46248</v>
      </c>
      <c r="F236" t="inlineStr">
        <is>
          <t>VÄSTRA GÖTALANDS LÄN</t>
        </is>
      </c>
      <c r="G236" t="inlineStr">
        <is>
          <t>TÖREBODA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46146</v>
      </c>
      <c r="E237" s="1" t="n">
        <v>46248</v>
      </c>
      <c r="F237" t="inlineStr">
        <is>
          <t>VÄSTRA GÖTALANDS LÄN</t>
        </is>
      </c>
      <c r="G237" t="inlineStr">
        <is>
          <t>TÖREBODA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28196-2022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44746</v>
      </c>
      <c r="E238" s="1" t="n">
        <v>46248</v>
      </c>
      <c r="F238" t="inlineStr">
        <is>
          <t>VÄSTRA GÖTALANDS LÄN</t>
        </is>
      </c>
      <c r="G238" t="inlineStr">
        <is>
          <t>TÖREBODA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46248</v>
      </c>
      <c r="F239" t="inlineStr">
        <is>
          <t>VÄSTRA GÖTALANDS LÄN</t>
        </is>
      </c>
      <c r="G239" t="inlineStr">
        <is>
          <t>TÖREBODA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45777</v>
      </c>
      <c r="E240" s="1" t="n">
        <v>46248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46248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46152</v>
      </c>
      <c r="E242" s="1" t="n">
        <v>46248</v>
      </c>
      <c r="F242" t="inlineStr">
        <is>
          <t>VÄSTRA GÖTALANDS LÄN</t>
        </is>
      </c>
      <c r="G242" t="inlineStr">
        <is>
          <t>TÖREBODA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46152</v>
      </c>
      <c r="E243" s="1" t="n">
        <v>46248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46152</v>
      </c>
      <c r="E244" s="1" t="n">
        <v>46248</v>
      </c>
      <c r="F244" t="inlineStr">
        <is>
          <t>VÄSTRA GÖTALANDS LÄN</t>
        </is>
      </c>
      <c r="G244" t="inlineStr">
        <is>
          <t>TÖREBODA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46152</v>
      </c>
      <c r="E245" s="1" t="n">
        <v>46248</v>
      </c>
      <c r="F245" t="inlineStr">
        <is>
          <t>VÄSTRA GÖTALANDS LÄN</t>
        </is>
      </c>
      <c r="G245" t="inlineStr">
        <is>
          <t>TÖREBODA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46248</v>
      </c>
      <c r="F246" t="inlineStr">
        <is>
          <t>VÄSTRA GÖTALANDS LÄN</t>
        </is>
      </c>
      <c r="G246" t="inlineStr">
        <is>
          <t>TÖREBODA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46152</v>
      </c>
      <c r="E247" s="1" t="n">
        <v>46248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46152</v>
      </c>
      <c r="E248" s="1" t="n">
        <v>46248</v>
      </c>
      <c r="F248" t="inlineStr">
        <is>
          <t>VÄSTRA GÖTALANDS LÄN</t>
        </is>
      </c>
      <c r="G248" t="inlineStr">
        <is>
          <t>TÖREBODA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46152</v>
      </c>
      <c r="E249" s="1" t="n">
        <v>46248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11730-2025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45727</v>
      </c>
      <c r="E250" s="1" t="n">
        <v>46248</v>
      </c>
      <c r="F250" t="inlineStr">
        <is>
          <t>VÄSTRA GÖTALANDS LÄN</t>
        </is>
      </c>
      <c r="G250" t="inlineStr">
        <is>
          <t>TÖREBODA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46248</v>
      </c>
      <c r="F251" t="inlineStr">
        <is>
          <t>VÄSTRA GÖTALANDS LÄN</t>
        </is>
      </c>
      <c r="G251" t="inlineStr">
        <is>
          <t>TÖREBODA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46248</v>
      </c>
      <c r="F252" t="inlineStr">
        <is>
          <t>VÄSTRA GÖTALANDS LÄN</t>
        </is>
      </c>
      <c r="G252" t="inlineStr">
        <is>
          <t>TÖREBODA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46248</v>
      </c>
      <c r="F253" t="inlineStr">
        <is>
          <t>VÄSTRA GÖTALANDS LÄN</t>
        </is>
      </c>
      <c r="G253" t="inlineStr">
        <is>
          <t>TÖREBODA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46248</v>
      </c>
      <c r="F254" t="inlineStr">
        <is>
          <t>VÄSTRA GÖTALANDS LÄN</t>
        </is>
      </c>
      <c r="G254" t="inlineStr">
        <is>
          <t>TÖREBODA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46248</v>
      </c>
      <c r="F255" t="inlineStr">
        <is>
          <t>VÄSTRA GÖTALANDS LÄN</t>
        </is>
      </c>
      <c r="G255" t="inlineStr">
        <is>
          <t>TÖREBODA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46248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46248</v>
      </c>
      <c r="F257" t="inlineStr">
        <is>
          <t>VÄSTRA GÖTALANDS LÄN</t>
        </is>
      </c>
      <c r="G257" t="inlineStr">
        <is>
          <t>TÖREBODA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45493</v>
      </c>
      <c r="E258" s="1" t="n">
        <v>46248</v>
      </c>
      <c r="F258" t="inlineStr">
        <is>
          <t>VÄSTRA GÖTALANDS LÄN</t>
        </is>
      </c>
      <c r="G258" t="inlineStr">
        <is>
          <t>TÖREBODA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45394</v>
      </c>
      <c r="E259" s="1" t="n">
        <v>46248</v>
      </c>
      <c r="F259" t="inlineStr">
        <is>
          <t>VÄSTRA GÖTALANDS LÄN</t>
        </is>
      </c>
      <c r="G259" t="inlineStr">
        <is>
          <t>TÖREBODA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46248</v>
      </c>
      <c r="F260" t="inlineStr">
        <is>
          <t>VÄSTRA GÖTALANDS LÄN</t>
        </is>
      </c>
      <c r="G260" t="inlineStr">
        <is>
          <t>TÖREBODA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45439</v>
      </c>
      <c r="E261" s="1" t="n">
        <v>46248</v>
      </c>
      <c r="F261" t="inlineStr">
        <is>
          <t>VÄSTRA GÖTALANDS LÄN</t>
        </is>
      </c>
      <c r="G261" t="inlineStr">
        <is>
          <t>TÖREBODA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45209</v>
      </c>
      <c r="E262" s="1" t="n">
        <v>46248</v>
      </c>
      <c r="F262" t="inlineStr">
        <is>
          <t>VÄSTRA GÖTALANDS LÄN</t>
        </is>
      </c>
      <c r="G262" t="inlineStr">
        <is>
          <t>TÖREBODA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46248</v>
      </c>
      <c r="F263" t="inlineStr">
        <is>
          <t>VÄSTRA GÖTALANDS LÄN</t>
        </is>
      </c>
      <c r="G263" t="inlineStr">
        <is>
          <t>TÖREBODA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46248</v>
      </c>
      <c r="F264" t="inlineStr">
        <is>
          <t>VÄSTRA GÖTALANDS LÄN</t>
        </is>
      </c>
      <c r="G264" t="inlineStr">
        <is>
          <t>TÖREBODA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46248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46248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Kyrkan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46248</v>
      </c>
      <c r="F267" t="inlineStr">
        <is>
          <t>VÄSTRA GÖTALANDS LÄN</t>
        </is>
      </c>
      <c r="G267" t="inlineStr">
        <is>
          <t>TÖREBODA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45637</v>
      </c>
      <c r="E268" s="1" t="n">
        <v>46248</v>
      </c>
      <c r="F268" t="inlineStr">
        <is>
          <t>VÄSTRA GÖTALANDS LÄN</t>
        </is>
      </c>
      <c r="G268" t="inlineStr">
        <is>
          <t>TÖREBODA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46248</v>
      </c>
      <c r="F269" t="inlineStr">
        <is>
          <t>VÄSTRA GÖTALANDS LÄN</t>
        </is>
      </c>
      <c r="G269" t="inlineStr">
        <is>
          <t>TÖREBODA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46248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46248</v>
      </c>
      <c r="F271" t="inlineStr">
        <is>
          <t>VÄSTRA GÖTALANDS LÄN</t>
        </is>
      </c>
      <c r="G271" t="inlineStr">
        <is>
          <t>TÖREBODA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46248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46248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46248</v>
      </c>
      <c r="F274" t="inlineStr">
        <is>
          <t>VÄSTRA GÖTALANDS LÄN</t>
        </is>
      </c>
      <c r="G274" t="inlineStr">
        <is>
          <t>TÖREBODA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46248</v>
      </c>
      <c r="F275" t="inlineStr">
        <is>
          <t>VÄSTRA GÖTALANDS LÄN</t>
        </is>
      </c>
      <c r="G275" t="inlineStr">
        <is>
          <t>TÖREBODA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46248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49085-2025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46248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46248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46248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46248</v>
      </c>
      <c r="F280" t="inlineStr">
        <is>
          <t>VÄSTRA GÖTALANDS LÄN</t>
        </is>
      </c>
      <c r="G280" t="inlineStr">
        <is>
          <t>TÖREBODA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46248</v>
      </c>
      <c r="F281" t="inlineStr">
        <is>
          <t>VÄSTRA GÖTALANDS LÄN</t>
        </is>
      </c>
      <c r="G281" t="inlineStr">
        <is>
          <t>TÖREBODA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44937</v>
      </c>
      <c r="E282" s="1" t="n">
        <v>46248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Övriga statliga verk och myndigheter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52639-2025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46248</v>
      </c>
      <c r="F283" t="inlineStr">
        <is>
          <t>VÄSTRA GÖTALANDS LÄN</t>
        </is>
      </c>
      <c r="G283" t="inlineStr">
        <is>
          <t>TÖREBODA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45961</v>
      </c>
      <c r="E284" s="1" t="n">
        <v>46248</v>
      </c>
      <c r="F284" t="inlineStr">
        <is>
          <t>VÄSTRA GÖTALANDS LÄN</t>
        </is>
      </c>
      <c r="G284" t="inlineStr">
        <is>
          <t>TÖREBODA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55593-2025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45971</v>
      </c>
      <c r="E285" s="1" t="n">
        <v>46248</v>
      </c>
      <c r="F285" t="inlineStr">
        <is>
          <t>VÄSTRA GÖTALANDS LÄN</t>
        </is>
      </c>
      <c r="G285" t="inlineStr">
        <is>
          <t>TÖREBODA</t>
        </is>
      </c>
      <c r="I285" t="n">
        <v>20.8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46248</v>
      </c>
      <c r="F286" t="inlineStr">
        <is>
          <t>VÄSTRA GÖTALANDS LÄN</t>
        </is>
      </c>
      <c r="G286" t="inlineStr">
        <is>
          <t>TÖREBODA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46248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46248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55766-2025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45972</v>
      </c>
      <c r="E289" s="1" t="n">
        <v>46248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46248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56131-2025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46248</v>
      </c>
      <c r="F291" t="inlineStr">
        <is>
          <t>VÄSTRA GÖTALANDS LÄN</t>
        </is>
      </c>
      <c r="G291" t="inlineStr">
        <is>
          <t>TÖREBODA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46231</v>
      </c>
      <c r="E292" s="1" t="n">
        <v>46248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46248</v>
      </c>
      <c r="F293" t="inlineStr">
        <is>
          <t>VÄSTRA GÖTALANDS LÄN</t>
        </is>
      </c>
      <c r="G293" t="inlineStr">
        <is>
          <t>TÖREBODA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46248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46057</v>
      </c>
      <c r="E295" s="1" t="n">
        <v>46248</v>
      </c>
      <c r="F295" t="inlineStr">
        <is>
          <t>VÄSTRA GÖTALANDS LÄN</t>
        </is>
      </c>
      <c r="G295" t="inlineStr">
        <is>
          <t>TÖREBODA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46248</v>
      </c>
      <c r="F296" t="inlineStr">
        <is>
          <t>VÄSTRA GÖTALANDS LÄN</t>
        </is>
      </c>
      <c r="G296" t="inlineStr">
        <is>
          <t>TÖREBODA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46078</v>
      </c>
      <c r="E297" s="1" t="n">
        <v>46248</v>
      </c>
      <c r="F297" t="inlineStr">
        <is>
          <t>VÄSTRA GÖTALANDS LÄN</t>
        </is>
      </c>
      <c r="G297" t="inlineStr">
        <is>
          <t>TÖREBODA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46248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11863-2026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46085</v>
      </c>
      <c r="E299" s="1" t="n">
        <v>46248</v>
      </c>
      <c r="F299" t="inlineStr">
        <is>
          <t>VÄSTRA GÖTALANDS LÄN</t>
        </is>
      </c>
      <c r="G299" t="inlineStr">
        <is>
          <t>TÖREBODA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46100</v>
      </c>
      <c r="E300" s="1" t="n">
        <v>46248</v>
      </c>
      <c r="F300" t="inlineStr">
        <is>
          <t>VÄSTRA GÖTALANDS LÄN</t>
        </is>
      </c>
      <c r="G300" t="inlineStr">
        <is>
          <t>TÖREBODA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15567-2026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46106</v>
      </c>
      <c r="E301" s="1" t="n">
        <v>46248</v>
      </c>
      <c r="F301" t="inlineStr">
        <is>
          <t>VÄSTRA GÖTALANDS LÄN</t>
        </is>
      </c>
      <c r="G301" t="inlineStr">
        <is>
          <t>TÖREBODA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46248</v>
      </c>
      <c r="F302" t="inlineStr">
        <is>
          <t>VÄSTRA GÖTALANDS LÄN</t>
        </is>
      </c>
      <c r="G302" t="inlineStr">
        <is>
          <t>TÖREBODA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46248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46248</v>
      </c>
      <c r="F304" t="inlineStr">
        <is>
          <t>VÄSTRA GÖTALANDS LÄN</t>
        </is>
      </c>
      <c r="G304" t="inlineStr">
        <is>
          <t>TÖREBODA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19706-2026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46134</v>
      </c>
      <c r="E305" s="1" t="n">
        <v>46248</v>
      </c>
      <c r="F305" t="inlineStr">
        <is>
          <t>VÄSTRA GÖTALANDS LÄN</t>
        </is>
      </c>
      <c r="G305" t="inlineStr">
        <is>
          <t>TÖREBODA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46248</v>
      </c>
      <c r="F306" t="inlineStr">
        <is>
          <t>VÄSTRA GÖTALANDS LÄN</t>
        </is>
      </c>
      <c r="G306" t="inlineStr">
        <is>
          <t>TÖREBODA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46248</v>
      </c>
      <c r="F307" t="inlineStr">
        <is>
          <t>VÄSTRA GÖTALANDS LÄN</t>
        </is>
      </c>
      <c r="G307" t="inlineStr">
        <is>
          <t>TÖREBODA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277-2025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45685</v>
      </c>
      <c r="E308" s="1" t="n">
        <v>46248</v>
      </c>
      <c r="F308" t="inlineStr">
        <is>
          <t>VÄSTRA GÖTALANDS LÄN</t>
        </is>
      </c>
      <c r="G308" t="inlineStr">
        <is>
          <t>TÖREBODA</t>
        </is>
      </c>
      <c r="I308" t="n">
        <v>186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671-2025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45716</v>
      </c>
      <c r="E309" s="1" t="n">
        <v>46248</v>
      </c>
      <c r="F309" t="inlineStr">
        <is>
          <t>VÄSTRA GÖTALANDS LÄN</t>
        </is>
      </c>
      <c r="G309" t="inlineStr">
        <is>
          <t>TÖREBODA</t>
        </is>
      </c>
      <c r="I309" t="n">
        <v>56.1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670-2025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46248</v>
      </c>
      <c r="F310" t="inlineStr">
        <is>
          <t>VÄSTRA GÖTALANDS LÄN</t>
        </is>
      </c>
      <c r="G310" t="inlineStr">
        <is>
          <t>TÖREBODA</t>
        </is>
      </c>
      <c r="I310" t="n">
        <v>23.4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178-2026</t>
        </is>
      </c>
      <c r="B311" t="inlineStr">
        <is>
          <t>samrådsanmälan</t>
        </is>
      </c>
      <c r="C311" t="inlineStr">
        <is>
          <t>Skogsgödsling</t>
        </is>
      </c>
      <c r="D311" s="1" t="n">
        <v>46045</v>
      </c>
      <c r="E311" s="1" t="n">
        <v>46248</v>
      </c>
      <c r="F311" t="inlineStr">
        <is>
          <t>VÄSTRA GÖTALANDS LÄN</t>
        </is>
      </c>
      <c r="G311" t="inlineStr">
        <is>
          <t>TÖREBODA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2026-08-14T01:52:58Z</dcterms:created>
  <dcterms:modified xmlns:dcterms="http://purl.org/dc/terms/" xmlns:xsi="http://www.w3.org/2001/XMLSchema-instance" xsi:type="dcterms:W3CDTF">2026-08-14T01:52:58Z</dcterms:modified>
</cp:coreProperties>
</file>