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46315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46315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46315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46315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46315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46315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46315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46315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46315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46315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46315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46315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46315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46315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46315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46315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46315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46315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46315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46315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46315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39894-2023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46315</v>
      </c>
      <c r="F27" t="inlineStr">
        <is>
          <t>VÄSTRA GÖTALANDS LÄN</t>
        </is>
      </c>
      <c r="G27" t="inlineStr">
        <is>
          <t>TÖREBODA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Nattskärra</t>
        </is>
      </c>
      <c r="W27">
        <f>HYPERLINK("https://klasma.github.io/Logging_1473/artfynd/A 39894-2023 artfynd.xlsx", "A 39894-2023")</f>
        <v/>
      </c>
      <c r="X27">
        <f>HYPERLINK("https://klasma.github.io/Logging_1473/kartor/A 39894-2023 karta.png", "A 39894-2023")</f>
        <v/>
      </c>
      <c r="Y27">
        <f>HYPERLINK("https://klasma.github.io/Logging_1473/kartor_geotiff/A 39894-2023 georefererad karta.tif", "A 39894-2023")</f>
        <v/>
      </c>
      <c r="AA27">
        <f>HYPERLINK("https://klasma.github.io/Logging_1473/klagomål/A 39894-2023 FSC-klagomål.docx", "A 39894-2023")</f>
        <v/>
      </c>
      <c r="AB27">
        <f>HYPERLINK("https://klasma.github.io/Logging_1473/klagomålsmail/A 39894-2023 FSC-klagomål mail.docx", "A 39894-2023")</f>
        <v/>
      </c>
      <c r="AC27">
        <f>HYPERLINK("https://klasma.github.io/Logging_1473/tillsyn/A 39894-2023 tillsynsbegäran.docx", "A 39894-2023")</f>
        <v/>
      </c>
      <c r="AD27">
        <f>HYPERLINK("https://klasma.github.io/Logging_1473/tillsynsmail/A 39894-2023 tillsynsbegäran mail.docx", "A 39894-2023")</f>
        <v/>
      </c>
      <c r="AE27">
        <f>HYPERLINK("https://klasma.github.io/Logging_1473/fåglar/A 39894-2023 prioriterade fågelarter.docx", "A 39894-2023")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46315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46315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46315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46315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46315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A 14755-2025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45742</v>
      </c>
      <c r="E33" s="1" t="n">
        <v>46315</v>
      </c>
      <c r="F33" t="inlineStr">
        <is>
          <t>VÄSTRA GÖTALANDS LÄN</t>
        </is>
      </c>
      <c r="G33" t="inlineStr">
        <is>
          <t>TÖREBODA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Mattlummer</t>
        </is>
      </c>
      <c r="W33">
        <f>HYPERLINK("https://klasma.github.io/Logging_1473/artfynd/A 14755-2025 artfynd.xlsx", "A 14755-2025")</f>
        <v/>
      </c>
      <c r="X33">
        <f>HYPERLINK("https://klasma.github.io/Logging_1473/kartor/A 14755-2025 karta.png", "A 14755-2025")</f>
        <v/>
      </c>
      <c r="Y33">
        <f>HYPERLINK("https://klasma.github.io/Logging_1473/kartor_geotiff/A 14755-2025 georefererad karta.tif", "A 14755-2025")</f>
        <v/>
      </c>
      <c r="AA33">
        <f>HYPERLINK("https://klasma.github.io/Logging_1473/klagomål/A 14755-2025 FSC-klagomål.docx", "A 14755-2025")</f>
        <v/>
      </c>
      <c r="AB33">
        <f>HYPERLINK("https://klasma.github.io/Logging_1473/klagomålsmail/A 14755-2025 FSC-klagomål mail.docx", "A 14755-2025")</f>
        <v/>
      </c>
      <c r="AC33">
        <f>HYPERLINK("https://klasma.github.io/Logging_1473/tillsyn/A 14755-2025 tillsynsbegäran.docx", "A 14755-2025")</f>
        <v/>
      </c>
      <c r="AD33">
        <f>HYPERLINK("https://klasma.github.io/Logging_1473/tillsynsmail/A 14755-2025 tillsynsbegäran mail.docx", "A 14755-2025")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46315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46315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46315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46315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46315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46315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46315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46315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46315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46315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46315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46315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46315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46315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46315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46315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46315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46315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46315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46315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46315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46315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46315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46315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46315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46315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46315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46315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46315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46315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46315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46315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46315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46315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46315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46315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46315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46315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46315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46315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46315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46315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45282</v>
      </c>
      <c r="E76" s="1" t="n">
        <v>46315</v>
      </c>
      <c r="F76" t="inlineStr">
        <is>
          <t>VÄSTRA GÖTALANDS LÄN</t>
        </is>
      </c>
      <c r="G76" t="inlineStr">
        <is>
          <t>TÖREBODA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46315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46315</v>
      </c>
      <c r="F78" t="inlineStr">
        <is>
          <t>VÄSTRA GÖTALANDS LÄN</t>
        </is>
      </c>
      <c r="G78" t="inlineStr">
        <is>
          <t>TÖREBODA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46315</v>
      </c>
      <c r="F79" t="inlineStr">
        <is>
          <t>VÄSTRA GÖTALANDS LÄN</t>
        </is>
      </c>
      <c r="G79" t="inlineStr">
        <is>
          <t>TÖREBODA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46315</v>
      </c>
      <c r="F80" t="inlineStr">
        <is>
          <t>VÄSTRA GÖTALANDS LÄN</t>
        </is>
      </c>
      <c r="G80" t="inlineStr">
        <is>
          <t>TÖREBODA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46315</v>
      </c>
      <c r="F81" t="inlineStr">
        <is>
          <t>VÄSTRA GÖTALANDS LÄN</t>
        </is>
      </c>
      <c r="G81" t="inlineStr">
        <is>
          <t>TÖREBODA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46315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46315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46315</v>
      </c>
      <c r="F84" t="inlineStr">
        <is>
          <t>VÄSTRA GÖTALANDS LÄN</t>
        </is>
      </c>
      <c r="G84" t="inlineStr">
        <is>
          <t>TÖREBODA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46315</v>
      </c>
      <c r="F85" t="inlineStr">
        <is>
          <t>VÄSTRA GÖTALANDS LÄN</t>
        </is>
      </c>
      <c r="G85" t="inlineStr">
        <is>
          <t>TÖREBODA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46315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46315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45127</v>
      </c>
      <c r="E88" s="1" t="n">
        <v>46315</v>
      </c>
      <c r="F88" t="inlineStr">
        <is>
          <t>VÄSTRA GÖTALANDS LÄN</t>
        </is>
      </c>
      <c r="G88" t="inlineStr">
        <is>
          <t>TÖREBODA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45531</v>
      </c>
      <c r="E89" s="1" t="n">
        <v>46315</v>
      </c>
      <c r="F89" t="inlineStr">
        <is>
          <t>VÄSTRA GÖTALANDS LÄN</t>
        </is>
      </c>
      <c r="G89" t="inlineStr">
        <is>
          <t>TÖREBODA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46315</v>
      </c>
      <c r="F90" t="inlineStr">
        <is>
          <t>VÄSTRA GÖTALANDS LÄN</t>
        </is>
      </c>
      <c r="G90" t="inlineStr">
        <is>
          <t>TÖREBODA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46315</v>
      </c>
      <c r="F91" t="inlineStr">
        <is>
          <t>VÄSTRA GÖTALANDS LÄN</t>
        </is>
      </c>
      <c r="G91" t="inlineStr">
        <is>
          <t>TÖREBODA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46315</v>
      </c>
      <c r="F92" t="inlineStr">
        <is>
          <t>VÄSTRA GÖTALANDS LÄN</t>
        </is>
      </c>
      <c r="G92" t="inlineStr">
        <is>
          <t>TÖREBODA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46315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46315</v>
      </c>
      <c r="F94" t="inlineStr">
        <is>
          <t>VÄSTRA GÖTALANDS LÄN</t>
        </is>
      </c>
      <c r="G94" t="inlineStr">
        <is>
          <t>TÖREBODA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45579</v>
      </c>
      <c r="E95" s="1" t="n">
        <v>46315</v>
      </c>
      <c r="F95" t="inlineStr">
        <is>
          <t>VÄSTRA GÖTALANDS LÄN</t>
        </is>
      </c>
      <c r="G95" t="inlineStr">
        <is>
          <t>TÖREBODA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44923</v>
      </c>
      <c r="E96" s="1" t="n">
        <v>46315</v>
      </c>
      <c r="F96" t="inlineStr">
        <is>
          <t>VÄSTRA GÖTALANDS LÄN</t>
        </is>
      </c>
      <c r="G96" t="inlineStr">
        <is>
          <t>TÖREBODA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45553</v>
      </c>
      <c r="E97" s="1" t="n">
        <v>46315</v>
      </c>
      <c r="F97" t="inlineStr">
        <is>
          <t>VÄSTRA GÖTALANDS LÄN</t>
        </is>
      </c>
      <c r="G97" t="inlineStr">
        <is>
          <t>TÖREBODA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46315</v>
      </c>
      <c r="F98" t="inlineStr">
        <is>
          <t>VÄSTRA GÖTALANDS LÄN</t>
        </is>
      </c>
      <c r="G98" t="inlineStr">
        <is>
          <t>TÖREBODA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46315</v>
      </c>
      <c r="F99" t="inlineStr">
        <is>
          <t>VÄSTRA GÖTALANDS LÄN</t>
        </is>
      </c>
      <c r="G99" t="inlineStr">
        <is>
          <t>TÖREBODA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45077</v>
      </c>
      <c r="E100" s="1" t="n">
        <v>46315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Övriga Aktiebolag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46315</v>
      </c>
      <c r="F101" t="inlineStr">
        <is>
          <t>VÄSTRA GÖTALANDS LÄN</t>
        </is>
      </c>
      <c r="G101" t="inlineStr">
        <is>
          <t>TÖREBODA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46315</v>
      </c>
      <c r="F102" t="inlineStr">
        <is>
          <t>VÄSTRA GÖTALANDS LÄN</t>
        </is>
      </c>
      <c r="G102" t="inlineStr">
        <is>
          <t>TÖREBODA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45627</v>
      </c>
      <c r="E103" s="1" t="n">
        <v>46315</v>
      </c>
      <c r="F103" t="inlineStr">
        <is>
          <t>VÄSTRA GÖTALANDS LÄN</t>
        </is>
      </c>
      <c r="G103" t="inlineStr">
        <is>
          <t>TÖREBODA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45664</v>
      </c>
      <c r="E104" s="1" t="n">
        <v>46315</v>
      </c>
      <c r="F104" t="inlineStr">
        <is>
          <t>VÄSTRA GÖTALANDS LÄN</t>
        </is>
      </c>
      <c r="G104" t="inlineStr">
        <is>
          <t>TÖREBODA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46315</v>
      </c>
      <c r="F105" t="inlineStr">
        <is>
          <t>VÄSTRA GÖTALANDS LÄN</t>
        </is>
      </c>
      <c r="G105" t="inlineStr">
        <is>
          <t>TÖREBODA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46315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45885</v>
      </c>
      <c r="E107" s="1" t="n">
        <v>46315</v>
      </c>
      <c r="F107" t="inlineStr">
        <is>
          <t>VÄSTRA GÖTALANDS LÄN</t>
        </is>
      </c>
      <c r="G107" t="inlineStr">
        <is>
          <t>TÖREBODA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45885</v>
      </c>
      <c r="E108" s="1" t="n">
        <v>46315</v>
      </c>
      <c r="F108" t="inlineStr">
        <is>
          <t>VÄSTRA GÖTALANDS LÄN</t>
        </is>
      </c>
      <c r="G108" t="inlineStr">
        <is>
          <t>TÖREBODA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46315</v>
      </c>
      <c r="F109" t="inlineStr">
        <is>
          <t>VÄSTRA GÖTALANDS LÄN</t>
        </is>
      </c>
      <c r="G109" t="inlineStr">
        <is>
          <t>TÖREBODA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45885</v>
      </c>
      <c r="E110" s="1" t="n">
        <v>46315</v>
      </c>
      <c r="F110" t="inlineStr">
        <is>
          <t>VÄSTRA GÖTALANDS LÄN</t>
        </is>
      </c>
      <c r="G110" t="inlineStr">
        <is>
          <t>TÖREBODA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6442-2025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45699</v>
      </c>
      <c r="E111" s="1" t="n">
        <v>46315</v>
      </c>
      <c r="F111" t="inlineStr">
        <is>
          <t>VÄSTRA GÖTALANDS LÄN</t>
        </is>
      </c>
      <c r="G111" t="inlineStr">
        <is>
          <t>TÖREBODA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32463-2022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44782</v>
      </c>
      <c r="E112" s="1" t="n">
        <v>46315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44756</v>
      </c>
      <c r="E113" s="1" t="n">
        <v>46315</v>
      </c>
      <c r="F113" t="inlineStr">
        <is>
          <t>VÄSTRA GÖTALANDS LÄN</t>
        </is>
      </c>
      <c r="G113" t="inlineStr">
        <is>
          <t>TÖREBODA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46315</v>
      </c>
      <c r="F114" t="inlineStr">
        <is>
          <t>VÄSTRA GÖTALANDS LÄN</t>
        </is>
      </c>
      <c r="G114" t="inlineStr">
        <is>
          <t>TÖREBODA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46315</v>
      </c>
      <c r="F115" t="inlineStr">
        <is>
          <t>VÄSTRA GÖTALANDS LÄN</t>
        </is>
      </c>
      <c r="G115" t="inlineStr">
        <is>
          <t>TÖREBODA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46315</v>
      </c>
      <c r="F116" t="inlineStr">
        <is>
          <t>VÄSTRA GÖTALANDS LÄN</t>
        </is>
      </c>
      <c r="G116" t="inlineStr">
        <is>
          <t>TÖREBODA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46315</v>
      </c>
      <c r="F117" t="inlineStr">
        <is>
          <t>VÄSTRA GÖTALANDS LÄN</t>
        </is>
      </c>
      <c r="G117" t="inlineStr">
        <is>
          <t>TÖREBODA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46315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46315</v>
      </c>
      <c r="F119" t="inlineStr">
        <is>
          <t>VÄSTRA GÖTALANDS LÄN</t>
        </is>
      </c>
      <c r="G119" t="inlineStr">
        <is>
          <t>TÖREBODA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46315</v>
      </c>
      <c r="F120" t="inlineStr">
        <is>
          <t>VÄSTRA GÖTALANDS LÄN</t>
        </is>
      </c>
      <c r="G120" t="inlineStr">
        <is>
          <t>TÖREBODA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46315</v>
      </c>
      <c r="F121" t="inlineStr">
        <is>
          <t>VÄSTRA GÖTALANDS LÄN</t>
        </is>
      </c>
      <c r="G121" t="inlineStr">
        <is>
          <t>TÖREBODA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46315</v>
      </c>
      <c r="F122" t="inlineStr">
        <is>
          <t>VÄSTRA GÖTALANDS LÄN</t>
        </is>
      </c>
      <c r="G122" t="inlineStr">
        <is>
          <t>TÖREBODA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46315</v>
      </c>
      <c r="F123" t="inlineStr">
        <is>
          <t>VÄSTRA GÖTALANDS LÄN</t>
        </is>
      </c>
      <c r="G123" t="inlineStr">
        <is>
          <t>TÖREBODA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46315</v>
      </c>
      <c r="F124" t="inlineStr">
        <is>
          <t>VÄSTRA GÖTALANDS LÄN</t>
        </is>
      </c>
      <c r="G124" t="inlineStr">
        <is>
          <t>TÖREBODA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45757</v>
      </c>
      <c r="E125" s="1" t="n">
        <v>46315</v>
      </c>
      <c r="F125" t="inlineStr">
        <is>
          <t>VÄSTRA GÖTALANDS LÄN</t>
        </is>
      </c>
      <c r="G125" t="inlineStr">
        <is>
          <t>TÖREBODA</t>
        </is>
      </c>
      <c r="I125" t="n">
        <v>49.4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44924</v>
      </c>
      <c r="E126" s="1" t="n">
        <v>46315</v>
      </c>
      <c r="F126" t="inlineStr">
        <is>
          <t>VÄSTRA GÖTALANDS LÄN</t>
        </is>
      </c>
      <c r="G126" t="inlineStr">
        <is>
          <t>TÖREBODA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46315</v>
      </c>
      <c r="F127" t="inlineStr">
        <is>
          <t>VÄSTRA GÖTALANDS LÄN</t>
        </is>
      </c>
      <c r="G127" t="inlineStr">
        <is>
          <t>TÖREBODA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46315</v>
      </c>
      <c r="F128" t="inlineStr">
        <is>
          <t>VÄSTRA GÖTALANDS LÄN</t>
        </is>
      </c>
      <c r="G128" t="inlineStr">
        <is>
          <t>TÖREBODA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46315</v>
      </c>
      <c r="F129" t="inlineStr">
        <is>
          <t>VÄSTRA GÖTALANDS LÄN</t>
        </is>
      </c>
      <c r="G129" t="inlineStr">
        <is>
          <t>TÖREBODA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46315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46315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46315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46315</v>
      </c>
      <c r="F133" t="inlineStr">
        <is>
          <t>VÄSTRA GÖTALANDS LÄN</t>
        </is>
      </c>
      <c r="G133" t="inlineStr">
        <is>
          <t>TÖREBODA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46315</v>
      </c>
      <c r="F134" t="inlineStr">
        <is>
          <t>VÄSTRA GÖTALANDS LÄN</t>
        </is>
      </c>
      <c r="G134" t="inlineStr">
        <is>
          <t>TÖREBODA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44890</v>
      </c>
      <c r="E135" s="1" t="n">
        <v>46315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46315</v>
      </c>
      <c r="F136" t="inlineStr">
        <is>
          <t>VÄSTRA GÖTALANDS LÄN</t>
        </is>
      </c>
      <c r="G136" t="inlineStr">
        <is>
          <t>TÖREBODA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46315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45450</v>
      </c>
      <c r="E138" s="1" t="n">
        <v>46315</v>
      </c>
      <c r="F138" t="inlineStr">
        <is>
          <t>VÄSTRA GÖTALANDS LÄN</t>
        </is>
      </c>
      <c r="G138" t="inlineStr">
        <is>
          <t>TÖREBODA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46152</v>
      </c>
      <c r="E139" s="1" t="n">
        <v>46315</v>
      </c>
      <c r="F139" t="inlineStr">
        <is>
          <t>VÄSTRA GÖTALANDS LÄN</t>
        </is>
      </c>
      <c r="G139" t="inlineStr">
        <is>
          <t>TÖREBODA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46152</v>
      </c>
      <c r="E140" s="1" t="n">
        <v>46315</v>
      </c>
      <c r="F140" t="inlineStr">
        <is>
          <t>VÄSTRA GÖTALANDS LÄN</t>
        </is>
      </c>
      <c r="G140" t="inlineStr">
        <is>
          <t>TÖREBODA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46152</v>
      </c>
      <c r="E141" s="1" t="n">
        <v>46315</v>
      </c>
      <c r="F141" t="inlineStr">
        <is>
          <t>VÄSTRA GÖTALANDS LÄN</t>
        </is>
      </c>
      <c r="G141" t="inlineStr">
        <is>
          <t>TÖREBODA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46315</v>
      </c>
      <c r="F142" t="inlineStr">
        <is>
          <t>VÄSTRA GÖTALANDS LÄN</t>
        </is>
      </c>
      <c r="G142" t="inlineStr">
        <is>
          <t>TÖREBODA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46315</v>
      </c>
      <c r="F143" t="inlineStr">
        <is>
          <t>VÄSTRA GÖTALANDS LÄN</t>
        </is>
      </c>
      <c r="G143" t="inlineStr">
        <is>
          <t>TÖREBODA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46152</v>
      </c>
      <c r="E144" s="1" t="n">
        <v>46315</v>
      </c>
      <c r="F144" t="inlineStr">
        <is>
          <t>VÄSTRA GÖTALANDS LÄN</t>
        </is>
      </c>
      <c r="G144" t="inlineStr">
        <is>
          <t>TÖREBODA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45384</v>
      </c>
      <c r="E145" s="1" t="n">
        <v>46315</v>
      </c>
      <c r="F145" t="inlineStr">
        <is>
          <t>VÄSTRA GÖTALANDS LÄN</t>
        </is>
      </c>
      <c r="G145" t="inlineStr">
        <is>
          <t>TÖREBODA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46152</v>
      </c>
      <c r="E146" s="1" t="n">
        <v>46315</v>
      </c>
      <c r="F146" t="inlineStr">
        <is>
          <t>VÄSTRA GÖTALANDS LÄN</t>
        </is>
      </c>
      <c r="G146" t="inlineStr">
        <is>
          <t>TÖREBODA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46152</v>
      </c>
      <c r="E147" s="1" t="n">
        <v>46315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21962-2026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46152</v>
      </c>
      <c r="E148" s="1" t="n">
        <v>46315</v>
      </c>
      <c r="F148" t="inlineStr">
        <is>
          <t>VÄSTRA GÖTALANDS LÄN</t>
        </is>
      </c>
      <c r="G148" t="inlineStr">
        <is>
          <t>TÖREBODA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46152</v>
      </c>
      <c r="E149" s="1" t="n">
        <v>46315</v>
      </c>
      <c r="F149" t="inlineStr">
        <is>
          <t>VÄSTRA GÖTALANDS LÄN</t>
        </is>
      </c>
      <c r="G149" t="inlineStr">
        <is>
          <t>TÖREBODA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46315</v>
      </c>
      <c r="F150" t="inlineStr">
        <is>
          <t>VÄSTRA GÖTALANDS LÄN</t>
        </is>
      </c>
      <c r="G150" t="inlineStr">
        <is>
          <t>TÖREBODA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45665</v>
      </c>
      <c r="E151" s="1" t="n">
        <v>46315</v>
      </c>
      <c r="F151" t="inlineStr">
        <is>
          <t>VÄSTRA GÖTALANDS LÄN</t>
        </is>
      </c>
      <c r="G151" t="inlineStr">
        <is>
          <t>TÖREBODA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55593-2025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45971</v>
      </c>
      <c r="E152" s="1" t="n">
        <v>46315</v>
      </c>
      <c r="F152" t="inlineStr">
        <is>
          <t>VÄSTRA GÖTALANDS LÄN</t>
        </is>
      </c>
      <c r="G152" t="inlineStr">
        <is>
          <t>TÖREBODA</t>
        </is>
      </c>
      <c r="I152" t="n">
        <v>20.8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46315</v>
      </c>
      <c r="F153" t="inlineStr">
        <is>
          <t>VÄSTRA GÖTALANDS LÄN</t>
        </is>
      </c>
      <c r="G153" t="inlineStr">
        <is>
          <t>TÖREBODA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46315</v>
      </c>
      <c r="F154" t="inlineStr">
        <is>
          <t>VÄSTRA GÖTALANDS LÄN</t>
        </is>
      </c>
      <c r="G154" t="inlineStr">
        <is>
          <t>TÖREBODA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45142</v>
      </c>
      <c r="E155" s="1" t="n">
        <v>46315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45309</v>
      </c>
      <c r="E156" s="1" t="n">
        <v>46315</v>
      </c>
      <c r="F156" t="inlineStr">
        <is>
          <t>VÄSTRA GÖTALANDS LÄN</t>
        </is>
      </c>
      <c r="G156" t="inlineStr">
        <is>
          <t>TÖREBODA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55766-2025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45972</v>
      </c>
      <c r="E157" s="1" t="n">
        <v>46315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46315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46315</v>
      </c>
      <c r="F159" t="inlineStr">
        <is>
          <t>VÄSTRA GÖTALANDS LÄN</t>
        </is>
      </c>
      <c r="G159" t="inlineStr">
        <is>
          <t>TÖREBODA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45133</v>
      </c>
      <c r="E160" s="1" t="n">
        <v>46315</v>
      </c>
      <c r="F160" t="inlineStr">
        <is>
          <t>VÄSTRA GÖTALANDS LÄN</t>
        </is>
      </c>
      <c r="G160" t="inlineStr">
        <is>
          <t>TÖREBODA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46315</v>
      </c>
      <c r="F161" t="inlineStr">
        <is>
          <t>VÄSTRA GÖTALANDS LÄN</t>
        </is>
      </c>
      <c r="G161" t="inlineStr">
        <is>
          <t>TÖREBODA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45460</v>
      </c>
      <c r="E162" s="1" t="n">
        <v>46315</v>
      </c>
      <c r="F162" t="inlineStr">
        <is>
          <t>VÄSTRA GÖTALANDS LÄN</t>
        </is>
      </c>
      <c r="G162" t="inlineStr">
        <is>
          <t>TÖREBODA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46315</v>
      </c>
      <c r="F163" t="inlineStr">
        <is>
          <t>VÄSTRA GÖTALANDS LÄN</t>
        </is>
      </c>
      <c r="G163" t="inlineStr">
        <is>
          <t>TÖREBODA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45556</v>
      </c>
      <c r="E164" s="1" t="n">
        <v>46315</v>
      </c>
      <c r="F164" t="inlineStr">
        <is>
          <t>VÄSTRA GÖTALANDS LÄN</t>
        </is>
      </c>
      <c r="G164" t="inlineStr">
        <is>
          <t>TÖREBODA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46315</v>
      </c>
      <c r="F165" t="inlineStr">
        <is>
          <t>VÄSTRA GÖTALANDS LÄN</t>
        </is>
      </c>
      <c r="G165" t="inlineStr">
        <is>
          <t>TÖREBODA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46315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Övriga statliga verk och myndigheter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46168</v>
      </c>
      <c r="E167" s="1" t="n">
        <v>46315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46315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46315</v>
      </c>
      <c r="F169" t="inlineStr">
        <is>
          <t>VÄSTRA GÖTALANDS LÄN</t>
        </is>
      </c>
      <c r="G169" t="inlineStr">
        <is>
          <t>TÖREBODA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46315</v>
      </c>
      <c r="F170" t="inlineStr">
        <is>
          <t>VÄSTRA GÖTALANDS LÄN</t>
        </is>
      </c>
      <c r="G170" t="inlineStr">
        <is>
          <t>TÖREBODA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46315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Övriga statliga verk och myndigheter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46315</v>
      </c>
      <c r="F172" t="inlineStr">
        <is>
          <t>VÄSTRA GÖTALANDS LÄN</t>
        </is>
      </c>
      <c r="G172" t="inlineStr">
        <is>
          <t>TÖREBODA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46315</v>
      </c>
      <c r="F173" t="inlineStr">
        <is>
          <t>VÄSTRA GÖTALANDS LÄN</t>
        </is>
      </c>
      <c r="G173" t="inlineStr">
        <is>
          <t>TÖREBODA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45627</v>
      </c>
      <c r="E174" s="1" t="n">
        <v>46315</v>
      </c>
      <c r="F174" t="inlineStr">
        <is>
          <t>VÄSTRA GÖTALANDS LÄN</t>
        </is>
      </c>
      <c r="G174" t="inlineStr">
        <is>
          <t>TÖREBODA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45555</v>
      </c>
      <c r="E175" s="1" t="n">
        <v>46315</v>
      </c>
      <c r="F175" t="inlineStr">
        <is>
          <t>VÄSTRA GÖTALANDS LÄN</t>
        </is>
      </c>
      <c r="G175" t="inlineStr">
        <is>
          <t>TÖREBODA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46315</v>
      </c>
      <c r="F176" t="inlineStr">
        <is>
          <t>VÄSTRA GÖTALANDS LÄN</t>
        </is>
      </c>
      <c r="G176" t="inlineStr">
        <is>
          <t>TÖREBODA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44664</v>
      </c>
      <c r="E177" s="1" t="n">
        <v>46315</v>
      </c>
      <c r="F177" t="inlineStr">
        <is>
          <t>VÄSTRA GÖTALANDS LÄN</t>
        </is>
      </c>
      <c r="G177" t="inlineStr">
        <is>
          <t>TÖREBODA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46315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45328</v>
      </c>
      <c r="E179" s="1" t="n">
        <v>46315</v>
      </c>
      <c r="F179" t="inlineStr">
        <is>
          <t>VÄSTRA GÖTALANDS LÄN</t>
        </is>
      </c>
      <c r="G179" t="inlineStr">
        <is>
          <t>TÖREBODA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46315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Övriga Aktiebolag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46315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statliga verk och myndigheter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51889-2024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45607</v>
      </c>
      <c r="E182" s="1" t="n">
        <v>46315</v>
      </c>
      <c r="F182" t="inlineStr">
        <is>
          <t>VÄSTRA GÖTALANDS LÄN</t>
        </is>
      </c>
      <c r="G182" t="inlineStr">
        <is>
          <t>TÖREBODA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46315</v>
      </c>
      <c r="F183" t="inlineStr">
        <is>
          <t>VÄSTRA GÖTALANDS LÄN</t>
        </is>
      </c>
      <c r="G183" t="inlineStr">
        <is>
          <t>TÖREBODA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46315</v>
      </c>
      <c r="F184" t="inlineStr">
        <is>
          <t>VÄSTRA GÖTALANDS LÄN</t>
        </is>
      </c>
      <c r="G184" t="inlineStr">
        <is>
          <t>TÖREBODA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46057</v>
      </c>
      <c r="E185" s="1" t="n">
        <v>46315</v>
      </c>
      <c r="F185" t="inlineStr">
        <is>
          <t>VÄSTRA GÖTALANDS LÄN</t>
        </is>
      </c>
      <c r="G185" t="inlineStr">
        <is>
          <t>TÖREBODA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45156</v>
      </c>
      <c r="E186" s="1" t="n">
        <v>46315</v>
      </c>
      <c r="F186" t="inlineStr">
        <is>
          <t>VÄSTRA GÖTALANDS LÄN</t>
        </is>
      </c>
      <c r="G186" t="inlineStr">
        <is>
          <t>TÖREBODA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46315</v>
      </c>
      <c r="F187" t="inlineStr">
        <is>
          <t>VÄSTRA GÖTALANDS LÄN</t>
        </is>
      </c>
      <c r="G187" t="inlineStr">
        <is>
          <t>TÖREBODA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46315</v>
      </c>
      <c r="F188" t="inlineStr">
        <is>
          <t>VÄSTRA GÖTALANDS LÄN</t>
        </is>
      </c>
      <c r="G188" t="inlineStr">
        <is>
          <t>TÖREBODA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46315</v>
      </c>
      <c r="F189" t="inlineStr">
        <is>
          <t>VÄSTRA GÖTALANDS LÄN</t>
        </is>
      </c>
      <c r="G189" t="inlineStr">
        <is>
          <t>TÖREBODA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46315</v>
      </c>
      <c r="F190" t="inlineStr">
        <is>
          <t>VÄSTRA GÖTALANDS LÄN</t>
        </is>
      </c>
      <c r="G190" t="inlineStr">
        <is>
          <t>TÖREBODA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46315</v>
      </c>
      <c r="F191" t="inlineStr">
        <is>
          <t>VÄSTRA GÖTALANDS LÄN</t>
        </is>
      </c>
      <c r="G191" t="inlineStr">
        <is>
          <t>TÖREBODA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46315</v>
      </c>
      <c r="F192" t="inlineStr">
        <is>
          <t>VÄSTRA GÖTALANDS LÄN</t>
        </is>
      </c>
      <c r="G192" t="inlineStr">
        <is>
          <t>TÖREBODA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44749</v>
      </c>
      <c r="E193" s="1" t="n">
        <v>46315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46315</v>
      </c>
      <c r="F194" t="inlineStr">
        <is>
          <t>VÄSTRA GÖTALANDS LÄN</t>
        </is>
      </c>
      <c r="G194" t="inlineStr">
        <is>
          <t>TÖREBODA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28196-2022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44746</v>
      </c>
      <c r="E195" s="1" t="n">
        <v>46315</v>
      </c>
      <c r="F195" t="inlineStr">
        <is>
          <t>VÄSTRA GÖTALANDS LÄN</t>
        </is>
      </c>
      <c r="G195" t="inlineStr">
        <is>
          <t>TÖREBODA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46100</v>
      </c>
      <c r="E196" s="1" t="n">
        <v>46315</v>
      </c>
      <c r="F196" t="inlineStr">
        <is>
          <t>VÄSTRA GÖTALANDS LÄN</t>
        </is>
      </c>
      <c r="G196" t="inlineStr">
        <is>
          <t>TÖREBODA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46315</v>
      </c>
      <c r="F197" t="inlineStr">
        <is>
          <t>VÄSTRA GÖTALANDS LÄN</t>
        </is>
      </c>
      <c r="G197" t="inlineStr">
        <is>
          <t>TÖREBODA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15567-2026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46106</v>
      </c>
      <c r="E198" s="1" t="n">
        <v>46315</v>
      </c>
      <c r="F198" t="inlineStr">
        <is>
          <t>VÄSTRA GÖTALANDS LÄN</t>
        </is>
      </c>
      <c r="G198" t="inlineStr">
        <is>
          <t>TÖREBODA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44950</v>
      </c>
      <c r="E199" s="1" t="n">
        <v>46315</v>
      </c>
      <c r="F199" t="inlineStr">
        <is>
          <t>VÄSTRA GÖTALANDS LÄN</t>
        </is>
      </c>
      <c r="G199" t="inlineStr">
        <is>
          <t>TÖREBODA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46315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46315</v>
      </c>
      <c r="F201" t="inlineStr">
        <is>
          <t>VÄSTRA GÖTALANDS LÄN</t>
        </is>
      </c>
      <c r="G201" t="inlineStr">
        <is>
          <t>TÖREBODA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46315</v>
      </c>
      <c r="F202" t="inlineStr">
        <is>
          <t>VÄSTRA GÖTALANDS LÄN</t>
        </is>
      </c>
      <c r="G202" t="inlineStr">
        <is>
          <t>TÖREBODA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46315</v>
      </c>
      <c r="F203" t="inlineStr">
        <is>
          <t>VÄSTRA GÖTALANDS LÄN</t>
        </is>
      </c>
      <c r="G203" t="inlineStr">
        <is>
          <t>TÖREBODA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46315</v>
      </c>
      <c r="F204" t="inlineStr">
        <is>
          <t>VÄSTRA GÖTALANDS LÄN</t>
        </is>
      </c>
      <c r="G204" t="inlineStr">
        <is>
          <t>TÖREBODA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45233</v>
      </c>
      <c r="E205" s="1" t="n">
        <v>46315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45405</v>
      </c>
      <c r="E206" s="1" t="n">
        <v>46315</v>
      </c>
      <c r="F206" t="inlineStr">
        <is>
          <t>VÄSTRA GÖTALANDS LÄN</t>
        </is>
      </c>
      <c r="G206" t="inlineStr">
        <is>
          <t>TÖREBODA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44978</v>
      </c>
      <c r="E207" s="1" t="n">
        <v>46315</v>
      </c>
      <c r="F207" t="inlineStr">
        <is>
          <t>VÄSTRA GÖTALANDS LÄN</t>
        </is>
      </c>
      <c r="G207" t="inlineStr">
        <is>
          <t>TÖREBODA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44740</v>
      </c>
      <c r="E208" s="1" t="n">
        <v>46315</v>
      </c>
      <c r="F208" t="inlineStr">
        <is>
          <t>VÄSTRA GÖTALANDS LÄN</t>
        </is>
      </c>
      <c r="G208" t="inlineStr">
        <is>
          <t>TÖREBODA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45651</v>
      </c>
      <c r="E209" s="1" t="n">
        <v>46315</v>
      </c>
      <c r="F209" t="inlineStr">
        <is>
          <t>VÄSTRA GÖTALANDS LÄN</t>
        </is>
      </c>
      <c r="G209" t="inlineStr">
        <is>
          <t>TÖREBODA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45485</v>
      </c>
      <c r="E210" s="1" t="n">
        <v>46315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48491-2022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44858</v>
      </c>
      <c r="E211" s="1" t="n">
        <v>46315</v>
      </c>
      <c r="F211" t="inlineStr">
        <is>
          <t>VÄSTRA GÖTALANDS LÄN</t>
        </is>
      </c>
      <c r="G211" t="inlineStr">
        <is>
          <t>TÖREBODA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46315</v>
      </c>
      <c r="F212" t="inlineStr">
        <is>
          <t>VÄSTRA GÖTALANDS LÄN</t>
        </is>
      </c>
      <c r="G212" t="inlineStr">
        <is>
          <t>TÖREBODA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19706-2026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46134</v>
      </c>
      <c r="E213" s="1" t="n">
        <v>46315</v>
      </c>
      <c r="F213" t="inlineStr">
        <is>
          <t>VÄSTRA GÖTALANDS LÄN</t>
        </is>
      </c>
      <c r="G213" t="inlineStr">
        <is>
          <t>TÖREBODA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46315</v>
      </c>
      <c r="F214" t="inlineStr">
        <is>
          <t>VÄSTRA GÖTALANDS LÄN</t>
        </is>
      </c>
      <c r="G214" t="inlineStr">
        <is>
          <t>TÖREBODA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46315</v>
      </c>
      <c r="F215" t="inlineStr">
        <is>
          <t>VÄSTRA GÖTALANDS LÄN</t>
        </is>
      </c>
      <c r="G215" t="inlineStr">
        <is>
          <t>TÖREBODA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46315</v>
      </c>
      <c r="F216" t="inlineStr">
        <is>
          <t>VÄSTRA GÖTALANDS LÄN</t>
        </is>
      </c>
      <c r="G216" t="inlineStr">
        <is>
          <t>TÖREBODA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45268</v>
      </c>
      <c r="E217" s="1" t="n">
        <v>46315</v>
      </c>
      <c r="F217" t="inlineStr">
        <is>
          <t>VÄSTRA GÖTALANDS LÄN</t>
        </is>
      </c>
      <c r="G217" t="inlineStr">
        <is>
          <t>TÖREBODA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46206</v>
      </c>
      <c r="E218" s="1" t="n">
        <v>46315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46315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46315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Sveaskog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30198-2026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46206</v>
      </c>
      <c r="E221" s="1" t="n">
        <v>46315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Sveaskog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46315</v>
      </c>
      <c r="F222" t="inlineStr">
        <is>
          <t>VÄSTRA GÖTALANDS LÄN</t>
        </is>
      </c>
      <c r="G222" t="inlineStr">
        <is>
          <t>TÖREBODA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44923</v>
      </c>
      <c r="E223" s="1" t="n">
        <v>46315</v>
      </c>
      <c r="F223" t="inlineStr">
        <is>
          <t>VÄSTRA GÖTALANDS LÄN</t>
        </is>
      </c>
      <c r="G223" t="inlineStr">
        <is>
          <t>TÖREBODA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45344</v>
      </c>
      <c r="E224" s="1" t="n">
        <v>46315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46315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44964</v>
      </c>
      <c r="E226" s="1" t="n">
        <v>46315</v>
      </c>
      <c r="F226" t="inlineStr">
        <is>
          <t>VÄSTRA GÖTALANDS LÄN</t>
        </is>
      </c>
      <c r="G226" t="inlineStr">
        <is>
          <t>TÖREBODA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44816</v>
      </c>
      <c r="E227" s="1" t="n">
        <v>46315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Kyrkan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44599</v>
      </c>
      <c r="E228" s="1" t="n">
        <v>46315</v>
      </c>
      <c r="F228" t="inlineStr">
        <is>
          <t>VÄSTRA GÖTALANDS LÄN</t>
        </is>
      </c>
      <c r="G228" t="inlineStr">
        <is>
          <t>TÖREBODA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46315</v>
      </c>
      <c r="F229" t="inlineStr">
        <is>
          <t>VÄSTRA GÖTALANDS LÄN</t>
        </is>
      </c>
      <c r="G229" t="inlineStr">
        <is>
          <t>TÖREBODA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46315</v>
      </c>
      <c r="F230" t="inlineStr">
        <is>
          <t>VÄSTRA GÖTALANDS LÄN</t>
        </is>
      </c>
      <c r="G230" t="inlineStr">
        <is>
          <t>TÖREBODA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46315</v>
      </c>
      <c r="F231" t="inlineStr">
        <is>
          <t>VÄSTRA GÖTALANDS LÄN</t>
        </is>
      </c>
      <c r="G231" t="inlineStr">
        <is>
          <t>TÖREBODA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46315</v>
      </c>
      <c r="F232" t="inlineStr">
        <is>
          <t>VÄSTRA GÖTALANDS LÄN</t>
        </is>
      </c>
      <c r="G232" t="inlineStr">
        <is>
          <t>TÖREBODA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46315</v>
      </c>
      <c r="F233" t="inlineStr">
        <is>
          <t>VÄSTRA GÖTALANDS LÄN</t>
        </is>
      </c>
      <c r="G233" t="inlineStr">
        <is>
          <t>TÖREBODA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44937</v>
      </c>
      <c r="E234" s="1" t="n">
        <v>46315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Övriga statliga verk och myndigheter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46315</v>
      </c>
      <c r="F235" t="inlineStr">
        <is>
          <t>VÄSTRA GÖTALANDS LÄN</t>
        </is>
      </c>
      <c r="G235" t="inlineStr">
        <is>
          <t>TÖREBODA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28183-2022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46315</v>
      </c>
      <c r="F236" t="inlineStr">
        <is>
          <t>VÄSTRA GÖTALANDS LÄN</t>
        </is>
      </c>
      <c r="G236" t="inlineStr">
        <is>
          <t>TÖREBODA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45142</v>
      </c>
      <c r="E237" s="1" t="n">
        <v>46315</v>
      </c>
      <c r="F237" t="inlineStr">
        <is>
          <t>VÄSTRA GÖTALANDS LÄN</t>
        </is>
      </c>
      <c r="G237" t="inlineStr">
        <is>
          <t>TÖREBODA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46231</v>
      </c>
      <c r="E238" s="1" t="n">
        <v>46315</v>
      </c>
      <c r="F238" t="inlineStr">
        <is>
          <t>VÄSTRA GÖTALANDS LÄN</t>
        </is>
      </c>
      <c r="G238" t="inlineStr">
        <is>
          <t>TÖREBODA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6446-2025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45699</v>
      </c>
      <c r="E239" s="1" t="n">
        <v>46315</v>
      </c>
      <c r="F239" t="inlineStr">
        <is>
          <t>VÄSTRA GÖTALANDS LÄN</t>
        </is>
      </c>
      <c r="G239" t="inlineStr">
        <is>
          <t>TÖREBODA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46315</v>
      </c>
      <c r="F240" t="inlineStr">
        <is>
          <t>VÄSTRA GÖTALANDS LÄN</t>
        </is>
      </c>
      <c r="G240" t="inlineStr">
        <is>
          <t>TÖREBODA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46315</v>
      </c>
      <c r="F241" t="inlineStr">
        <is>
          <t>VÄSTRA GÖTALANDS LÄN</t>
        </is>
      </c>
      <c r="G241" t="inlineStr">
        <is>
          <t>TÖREBODA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44987</v>
      </c>
      <c r="E242" s="1" t="n">
        <v>46315</v>
      </c>
      <c r="F242" t="inlineStr">
        <is>
          <t>VÄSTRA GÖTALANDS LÄN</t>
        </is>
      </c>
      <c r="G242" t="inlineStr">
        <is>
          <t>TÖREBODA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46315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44956</v>
      </c>
      <c r="E244" s="1" t="n">
        <v>46315</v>
      </c>
      <c r="F244" t="inlineStr">
        <is>
          <t>VÄSTRA GÖTALANDS LÄN</t>
        </is>
      </c>
      <c r="G244" t="inlineStr">
        <is>
          <t>TÖREBODA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46275</v>
      </c>
      <c r="E245" s="1" t="n">
        <v>46315</v>
      </c>
      <c r="F245" t="inlineStr">
        <is>
          <t>VÄSTRA GÖTALANDS LÄN</t>
        </is>
      </c>
      <c r="G245" t="inlineStr">
        <is>
          <t>TÖREBODA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44792</v>
      </c>
      <c r="E246" s="1" t="n">
        <v>46315</v>
      </c>
      <c r="F246" t="inlineStr">
        <is>
          <t>VÄSTRA GÖTALANDS LÄN</t>
        </is>
      </c>
      <c r="G246" t="inlineStr">
        <is>
          <t>TÖREBODA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45625</v>
      </c>
      <c r="E247" s="1" t="n">
        <v>46315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45324</v>
      </c>
      <c r="E248" s="1" t="n">
        <v>46315</v>
      </c>
      <c r="F248" t="inlineStr">
        <is>
          <t>VÄSTRA GÖTALANDS LÄN</t>
        </is>
      </c>
      <c r="G248" t="inlineStr">
        <is>
          <t>TÖREBODA</t>
        </is>
      </c>
      <c r="I248" t="n">
        <v>28.9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45322</v>
      </c>
      <c r="E249" s="1" t="n">
        <v>46315</v>
      </c>
      <c r="F249" t="inlineStr">
        <is>
          <t>VÄSTRA GÖTALANDS LÄN</t>
        </is>
      </c>
      <c r="G249" t="inlineStr">
        <is>
          <t>TÖREBODA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45056</v>
      </c>
      <c r="E250" s="1" t="n">
        <v>46315</v>
      </c>
      <c r="F250" t="inlineStr">
        <is>
          <t>VÄSTRA GÖTALANDS LÄN</t>
        </is>
      </c>
      <c r="G250" t="inlineStr">
        <is>
          <t>TÖREBODA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44741</v>
      </c>
      <c r="E251" s="1" t="n">
        <v>46315</v>
      </c>
      <c r="F251" t="inlineStr">
        <is>
          <t>VÄSTRA GÖTALANDS LÄN</t>
        </is>
      </c>
      <c r="G251" t="inlineStr">
        <is>
          <t>TÖREBODA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44894</v>
      </c>
      <c r="E252" s="1" t="n">
        <v>46315</v>
      </c>
      <c r="F252" t="inlineStr">
        <is>
          <t>VÄSTRA GÖTALANDS LÄN</t>
        </is>
      </c>
      <c r="G252" t="inlineStr">
        <is>
          <t>TÖREBODA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46282</v>
      </c>
      <c r="E253" s="1" t="n">
        <v>46315</v>
      </c>
      <c r="F253" t="inlineStr">
        <is>
          <t>VÄSTRA GÖTALANDS LÄN</t>
        </is>
      </c>
      <c r="G253" t="inlineStr">
        <is>
          <t>TÖREBODA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46315</v>
      </c>
      <c r="F254" t="inlineStr">
        <is>
          <t>VÄSTRA GÖTALANDS LÄN</t>
        </is>
      </c>
      <c r="G254" t="inlineStr">
        <is>
          <t>TÖREBODA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45750</v>
      </c>
      <c r="E255" s="1" t="n">
        <v>46315</v>
      </c>
      <c r="F255" t="inlineStr">
        <is>
          <t>VÄSTRA GÖTALANDS LÄN</t>
        </is>
      </c>
      <c r="G255" t="inlineStr">
        <is>
          <t>TÖREBODA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46315</v>
      </c>
      <c r="F256" t="inlineStr">
        <is>
          <t>VÄSTRA GÖTALANDS LÄN</t>
        </is>
      </c>
      <c r="G256" t="inlineStr">
        <is>
          <t>TÖREBODA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44978</v>
      </c>
      <c r="E257" s="1" t="n">
        <v>46315</v>
      </c>
      <c r="F257" t="inlineStr">
        <is>
          <t>VÄSTRA GÖTALANDS LÄN</t>
        </is>
      </c>
      <c r="G257" t="inlineStr">
        <is>
          <t>TÖREBODA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39282-2026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46288</v>
      </c>
      <c r="E258" s="1" t="n">
        <v>46315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41627-2022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44827</v>
      </c>
      <c r="E259" s="1" t="n">
        <v>46315</v>
      </c>
      <c r="F259" t="inlineStr">
        <is>
          <t>VÄSTRA GÖTALANDS LÄN</t>
        </is>
      </c>
      <c r="G259" t="inlineStr">
        <is>
          <t>TÖREBODA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41632-2022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44827</v>
      </c>
      <c r="E260" s="1" t="n">
        <v>46315</v>
      </c>
      <c r="F260" t="inlineStr">
        <is>
          <t>VÄSTRA GÖTALANDS LÄN</t>
        </is>
      </c>
      <c r="G260" t="inlineStr">
        <is>
          <t>TÖREBODA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45552</v>
      </c>
      <c r="E261" s="1" t="n">
        <v>46315</v>
      </c>
      <c r="F261" t="inlineStr">
        <is>
          <t>VÄSTRA GÖTALANDS LÄN</t>
        </is>
      </c>
      <c r="G261" t="inlineStr">
        <is>
          <t>TÖREBODA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46315</v>
      </c>
      <c r="F262" t="inlineStr">
        <is>
          <t>VÄSTRA GÖTALANDS LÄN</t>
        </is>
      </c>
      <c r="G262" t="inlineStr">
        <is>
          <t>TÖREBODA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45552</v>
      </c>
      <c r="E263" s="1" t="n">
        <v>46315</v>
      </c>
      <c r="F263" t="inlineStr">
        <is>
          <t>VÄSTRA GÖTALANDS LÄN</t>
        </is>
      </c>
      <c r="G263" t="inlineStr">
        <is>
          <t>TÖREBODA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46315</v>
      </c>
      <c r="F264" t="inlineStr">
        <is>
          <t>VÄSTRA GÖTALANDS LÄN</t>
        </is>
      </c>
      <c r="G264" t="inlineStr">
        <is>
          <t>TÖREBODA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46288</v>
      </c>
      <c r="E265" s="1" t="n">
        <v>46315</v>
      </c>
      <c r="F265" t="inlineStr">
        <is>
          <t>VÄSTRA GÖTALANDS LÄN</t>
        </is>
      </c>
      <c r="G265" t="inlineStr">
        <is>
          <t>TÖREBODA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46288</v>
      </c>
      <c r="E266" s="1" t="n">
        <v>46315</v>
      </c>
      <c r="F266" t="inlineStr">
        <is>
          <t>VÄSTRA GÖTALANDS LÄN</t>
        </is>
      </c>
      <c r="G266" t="inlineStr">
        <is>
          <t>TÖREBODA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46315</v>
      </c>
      <c r="F267" t="inlineStr">
        <is>
          <t>VÄSTRA GÖTALANDS LÄN</t>
        </is>
      </c>
      <c r="G267" t="inlineStr">
        <is>
          <t>TÖREBODA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46315</v>
      </c>
      <c r="F268" t="inlineStr">
        <is>
          <t>VÄSTRA GÖTALANDS LÄN</t>
        </is>
      </c>
      <c r="G268" t="inlineStr">
        <is>
          <t>TÖREBODA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45531</v>
      </c>
      <c r="E269" s="1" t="n">
        <v>46315</v>
      </c>
      <c r="F269" t="inlineStr">
        <is>
          <t>VÄSTRA GÖTALANDS LÄN</t>
        </is>
      </c>
      <c r="G269" t="inlineStr">
        <is>
          <t>TÖREBODA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59438-2022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46315</v>
      </c>
      <c r="F270" t="inlineStr">
        <is>
          <t>VÄSTRA GÖTALANDS LÄN</t>
        </is>
      </c>
      <c r="G270" t="inlineStr">
        <is>
          <t>TÖREBODA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46315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46315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45352</v>
      </c>
      <c r="E273" s="1" t="n">
        <v>46315</v>
      </c>
      <c r="F273" t="inlineStr">
        <is>
          <t>VÄSTRA GÖTALANDS LÄN</t>
        </is>
      </c>
      <c r="G273" t="inlineStr">
        <is>
          <t>TÖREBODA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46315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46251</v>
      </c>
      <c r="E275" s="1" t="n">
        <v>46315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46315</v>
      </c>
      <c r="F276" t="inlineStr">
        <is>
          <t>VÄSTRA GÖTALANDS LÄN</t>
        </is>
      </c>
      <c r="G276" t="inlineStr">
        <is>
          <t>TÖREBODA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45082</v>
      </c>
      <c r="E277" s="1" t="n">
        <v>46315</v>
      </c>
      <c r="F277" t="inlineStr">
        <is>
          <t>VÄSTRA GÖTALANDS LÄN</t>
        </is>
      </c>
      <c r="G277" t="inlineStr">
        <is>
          <t>TÖREBODA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46251</v>
      </c>
      <c r="E278" s="1" t="n">
        <v>46315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45777</v>
      </c>
      <c r="E279" s="1" t="n">
        <v>46315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46315</v>
      </c>
      <c r="F280" t="inlineStr">
        <is>
          <t>VÄSTRA GÖTALANDS LÄN</t>
        </is>
      </c>
      <c r="G280" t="inlineStr">
        <is>
          <t>TÖREBODA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46315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11730-2025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45727</v>
      </c>
      <c r="E282" s="1" t="n">
        <v>46315</v>
      </c>
      <c r="F282" t="inlineStr">
        <is>
          <t>VÄSTRA GÖTALANDS LÄN</t>
        </is>
      </c>
      <c r="G282" t="inlineStr">
        <is>
          <t>TÖREBODA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46315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45730</v>
      </c>
      <c r="E284" s="1" t="n">
        <v>46315</v>
      </c>
      <c r="F284" t="inlineStr">
        <is>
          <t>VÄSTRA GÖTALANDS LÄN</t>
        </is>
      </c>
      <c r="G284" t="inlineStr">
        <is>
          <t>TÖREBODA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46315</v>
      </c>
      <c r="F285" t="inlineStr">
        <is>
          <t>VÄSTRA GÖTALANDS LÄN</t>
        </is>
      </c>
      <c r="G285" t="inlineStr">
        <is>
          <t>TÖREBODA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46315</v>
      </c>
      <c r="F286" t="inlineStr">
        <is>
          <t>VÄSTRA GÖTALANDS LÄN</t>
        </is>
      </c>
      <c r="G286" t="inlineStr">
        <is>
          <t>TÖREBODA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46315</v>
      </c>
      <c r="F287" t="inlineStr">
        <is>
          <t>VÄSTRA GÖTALANDS LÄN</t>
        </is>
      </c>
      <c r="G287" t="inlineStr">
        <is>
          <t>TÖREBODA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46315</v>
      </c>
      <c r="F288" t="inlineStr">
        <is>
          <t>VÄSTRA GÖTALANDS LÄN</t>
        </is>
      </c>
      <c r="G288" t="inlineStr">
        <is>
          <t>TÖREBODA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46315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45209</v>
      </c>
      <c r="E290" s="1" t="n">
        <v>46315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45493</v>
      </c>
      <c r="E291" s="1" t="n">
        <v>46315</v>
      </c>
      <c r="F291" t="inlineStr">
        <is>
          <t>VÄSTRA GÖTALANDS LÄN</t>
        </is>
      </c>
      <c r="G291" t="inlineStr">
        <is>
          <t>TÖREBODA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45569</v>
      </c>
      <c r="E292" s="1" t="n">
        <v>46315</v>
      </c>
      <c r="F292" t="inlineStr">
        <is>
          <t>VÄSTRA GÖTALANDS LÄN</t>
        </is>
      </c>
      <c r="G292" t="inlineStr">
        <is>
          <t>TÖREBODA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46303</v>
      </c>
      <c r="E293" s="1" t="n">
        <v>46315</v>
      </c>
      <c r="F293" t="inlineStr">
        <is>
          <t>VÄSTRA GÖTALANDS LÄN</t>
        </is>
      </c>
      <c r="G293" t="inlineStr">
        <is>
          <t>TÖREBODA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46308</v>
      </c>
      <c r="E294" s="1" t="n">
        <v>46315</v>
      </c>
      <c r="F294" t="inlineStr">
        <is>
          <t>VÄSTRA GÖTALANDS LÄN</t>
        </is>
      </c>
      <c r="G294" t="inlineStr">
        <is>
          <t>TÖREBODA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46308</v>
      </c>
      <c r="E295" s="1" t="n">
        <v>46315</v>
      </c>
      <c r="F295" t="inlineStr">
        <is>
          <t>VÄSTRA GÖTALANDS LÄN</t>
        </is>
      </c>
      <c r="G295" t="inlineStr">
        <is>
          <t>TÖREBODA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46315</v>
      </c>
      <c r="F296" t="inlineStr">
        <is>
          <t>VÄSTRA GÖTALANDS LÄN</t>
        </is>
      </c>
      <c r="G296" t="inlineStr">
        <is>
          <t>TÖREBODA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26941-2025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45811</v>
      </c>
      <c r="E297" s="1" t="n">
        <v>46315</v>
      </c>
      <c r="F297" t="inlineStr">
        <is>
          <t>VÄSTRA GÖTALANDS LÄN</t>
        </is>
      </c>
      <c r="G297" t="inlineStr">
        <is>
          <t>TÖREBODA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45569</v>
      </c>
      <c r="E298" s="1" t="n">
        <v>46315</v>
      </c>
      <c r="F298" t="inlineStr">
        <is>
          <t>VÄSTRA GÖTALANDS LÄN</t>
        </is>
      </c>
      <c r="G298" t="inlineStr">
        <is>
          <t>TÖREBODA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46315</v>
      </c>
      <c r="F299" t="inlineStr">
        <is>
          <t>VÄSTRA GÖTALANDS LÄN</t>
        </is>
      </c>
      <c r="G299" t="inlineStr">
        <is>
          <t>TÖREBODA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30591-2025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46315</v>
      </c>
      <c r="F300" t="inlineStr">
        <is>
          <t>VÄSTRA GÖTALANDS LÄN</t>
        </is>
      </c>
      <c r="G300" t="inlineStr">
        <is>
          <t>TÖREBODA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46315</v>
      </c>
      <c r="F301" t="inlineStr">
        <is>
          <t>VÄSTRA GÖTALANDS LÄN</t>
        </is>
      </c>
      <c r="G301" t="inlineStr">
        <is>
          <t>TÖREBODA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46315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46315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46315</v>
      </c>
      <c r="F304" t="inlineStr">
        <is>
          <t>VÄSTRA GÖTALANDS LÄN</t>
        </is>
      </c>
      <c r="G304" t="inlineStr">
        <is>
          <t>TÖREBODA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46315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46268</v>
      </c>
      <c r="E306" s="1" t="n">
        <v>46315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46315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46315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46315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46315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46315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46315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46315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46315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46315</v>
      </c>
      <c r="F315" t="inlineStr">
        <is>
          <t>VÄSTRA GÖTALANDS LÄN</t>
        </is>
      </c>
      <c r="G315" t="inlineStr">
        <is>
          <t>TÖREBODA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46268</v>
      </c>
      <c r="E316" s="1" t="n">
        <v>46315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46314</v>
      </c>
      <c r="E317" s="1" t="n">
        <v>46315</v>
      </c>
      <c r="F317" t="inlineStr">
        <is>
          <t>VÄSTRA GÖTALANDS LÄN</t>
        </is>
      </c>
      <c r="G317" t="inlineStr">
        <is>
          <t>TÖREBODA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45720</v>
      </c>
      <c r="E318" s="1" t="n">
        <v>46315</v>
      </c>
      <c r="F318" t="inlineStr">
        <is>
          <t>VÄSTRA GÖTALANDS LÄN</t>
        </is>
      </c>
      <c r="G318" t="inlineStr">
        <is>
          <t>TÖREBODA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46315</v>
      </c>
      <c r="F319" t="inlineStr">
        <is>
          <t>VÄSTRA GÖTALANDS LÄN</t>
        </is>
      </c>
      <c r="G319" t="inlineStr">
        <is>
          <t>TÖREBODA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36393-2026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46268</v>
      </c>
      <c r="E320" s="1" t="n">
        <v>46315</v>
      </c>
      <c r="F320" t="inlineStr">
        <is>
          <t>VÄSTRA GÖTALANDS LÄN</t>
        </is>
      </c>
      <c r="G320" t="inlineStr">
        <is>
          <t>TÖREBODA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46315</v>
      </c>
      <c r="F321" t="inlineStr">
        <is>
          <t>VÄSTRA GÖTALANDS LÄN</t>
        </is>
      </c>
      <c r="G321" t="inlineStr">
        <is>
          <t>TÖREBODA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277-2025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45685</v>
      </c>
      <c r="E322" s="1" t="n">
        <v>46315</v>
      </c>
      <c r="F322" t="inlineStr">
        <is>
          <t>VÄSTRA GÖTALANDS LÄN</t>
        </is>
      </c>
      <c r="G322" t="inlineStr">
        <is>
          <t>TÖREBODA</t>
        </is>
      </c>
      <c r="I322" t="n">
        <v>186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671-2025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46315</v>
      </c>
      <c r="F323" t="inlineStr">
        <is>
          <t>VÄSTRA GÖTALANDS LÄN</t>
        </is>
      </c>
      <c r="G323" t="inlineStr">
        <is>
          <t>TÖREBODA</t>
        </is>
      </c>
      <c r="I323" t="n">
        <v>56.1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670-2025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45716</v>
      </c>
      <c r="E324" s="1" t="n">
        <v>46315</v>
      </c>
      <c r="F324" t="inlineStr">
        <is>
          <t>VÄSTRA GÖTALANDS LÄN</t>
        </is>
      </c>
      <c r="G324" t="inlineStr">
        <is>
          <t>TÖREBODA</t>
        </is>
      </c>
      <c r="I324" t="n">
        <v>23.4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178-2026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46045</v>
      </c>
      <c r="E325" s="1" t="n">
        <v>46315</v>
      </c>
      <c r="F325" t="inlineStr">
        <is>
          <t>VÄSTRA GÖTALANDS LÄN</t>
        </is>
      </c>
      <c r="G325" t="inlineStr">
        <is>
          <t>TÖREBODA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2026-10-20T01:49:46Z</dcterms:created>
  <dcterms:modified xmlns:dcterms="http://purl.org/dc/terms/" xmlns:xsi="http://www.w3.org/2001/XMLSchema-instance" xsi:type="dcterms:W3CDTF">2026-10-20T01:49:46Z</dcterms:modified>
</cp:coreProperties>
</file>