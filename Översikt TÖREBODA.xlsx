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46284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46284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46284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46284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46284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46284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46284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46284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46284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46284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11692-2025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45727</v>
      </c>
      <c r="E12" s="1" t="n">
        <v>46284</v>
      </c>
      <c r="F12" t="inlineStr">
        <is>
          <t>VÄSTRA GÖTALANDS LÄN</t>
        </is>
      </c>
      <c r="G12" t="inlineStr">
        <is>
          <t>TÖREBODA</t>
        </is>
      </c>
      <c r="I12" t="n">
        <v>0.9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Björksplintborre
Jättesvampmal</t>
        </is>
      </c>
      <c r="W12">
        <f>HYPERLINK("https://klasma.github.io/Logging_1473/artfynd/A 11692-2025 artfynd.xlsx", "A 11692-2025")</f>
        <v/>
      </c>
      <c r="X12">
        <f>HYPERLINK("https://klasma.github.io/Logging_1473/kartor/A 11692-2025 karta.png", "A 11692-2025")</f>
        <v/>
      </c>
      <c r="Y12">
        <f>HYPERLINK("https://klasma.github.io/Logging_1473/kartor_geotiff/A 11692-2025 georefererad karta.tif", "A 11692-2025")</f>
        <v/>
      </c>
      <c r="AA12">
        <f>HYPERLINK("https://klasma.github.io/Logging_1473/klagomål/A 11692-2025 FSC-klagomål.docx", "A 11692-2025")</f>
        <v/>
      </c>
      <c r="AB12">
        <f>HYPERLINK("https://klasma.github.io/Logging_1473/klagomålsmail/A 11692-2025 FSC-klagomål mail.docx", "A 11692-2025")</f>
        <v/>
      </c>
      <c r="AC12">
        <f>HYPERLINK("https://klasma.github.io/Logging_1473/tillsyn/A 11692-2025 tillsynsbegäran.docx", "A 11692-2025")</f>
        <v/>
      </c>
      <c r="AD12">
        <f>HYPERLINK("https://klasma.github.io/Logging_1473/tillsynsmail/A 11692-2025 tillsynsbegäran mail.docx", "A 11692-2025")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46284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46284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46284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46284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46284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46284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46284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58097-2024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46284</v>
      </c>
      <c r="F20" t="inlineStr">
        <is>
          <t>VÄSTRA GÖTALANDS LÄN</t>
        </is>
      </c>
      <c r="G20" t="inlineStr">
        <is>
          <t>TÖREBODA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Vattenfladdermus</t>
        </is>
      </c>
      <c r="W20">
        <f>HYPERLINK("https://klasma.github.io/Logging_1473/artfynd/A 58097-2024 artfynd.xlsx", "A 58097-2024")</f>
        <v/>
      </c>
      <c r="X20">
        <f>HYPERLINK("https://klasma.github.io/Logging_1473/kartor/A 58097-2024 karta.png", "A 58097-2024")</f>
        <v/>
      </c>
      <c r="Y20">
        <f>HYPERLINK("https://klasma.github.io/Logging_1473/kartor_geotiff/A 58097-2024 georefererad karta.tif", "A 58097-2024")</f>
        <v/>
      </c>
      <c r="AA20">
        <f>HYPERLINK("https://klasma.github.io/Logging_1473/klagomål/A 58097-2024 FSC-klagomål.docx", "A 58097-2024")</f>
        <v/>
      </c>
      <c r="AB20">
        <f>HYPERLINK("https://klasma.github.io/Logging_1473/klagomålsmail/A 58097-2024 FSC-klagomål mail.docx", "A 58097-2024")</f>
        <v/>
      </c>
      <c r="AC20">
        <f>HYPERLINK("https://klasma.github.io/Logging_1473/tillsyn/A 58097-2024 tillsynsbegäran.docx", "A 58097-2024")</f>
        <v/>
      </c>
      <c r="AD20">
        <f>HYPERLINK("https://klasma.github.io/Logging_1473/tillsynsmail/A 58097-2024 tillsynsbegäran mail.docx", "A 58097-2024")</f>
        <v/>
      </c>
    </row>
    <row r="21" ht="15" customHeight="1">
      <c r="A21" t="inlineStr">
        <is>
          <t>A 55174-2024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45621</v>
      </c>
      <c r="E21" s="1" t="n">
        <v>46284</v>
      </c>
      <c r="F21" t="inlineStr">
        <is>
          <t>VÄSTRA GÖTALANDS LÄN</t>
        </is>
      </c>
      <c r="G21" t="inlineStr">
        <is>
          <t>TÖREBODA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HYPERLINK("https://klasma.github.io/Logging_1473/artfynd/A 55174-2024 artfynd.xlsx", "A 55174-2024")</f>
        <v/>
      </c>
      <c r="X21">
        <f>HYPERLINK("https://klasma.github.io/Logging_1473/kartor/A 55174-2024 karta.png", "A 55174-2024")</f>
        <v/>
      </c>
      <c r="Y21">
        <f>HYPERLINK("https://klasma.github.io/Logging_1473/kartor_geotiff/A 55174-2024 georefererad karta.tif", "A 55174-2024")</f>
        <v/>
      </c>
      <c r="AA21">
        <f>HYPERLINK("https://klasma.github.io/Logging_1473/klagomål/A 55174-2024 FSC-klagomål.docx", "A 55174-2024")</f>
        <v/>
      </c>
      <c r="AB21">
        <f>HYPERLINK("https://klasma.github.io/Logging_1473/klagomålsmail/A 55174-2024 FSC-klagomål mail.docx", "A 55174-2024")</f>
        <v/>
      </c>
      <c r="AC21">
        <f>HYPERLINK("https://klasma.github.io/Logging_1473/tillsyn/A 55174-2024 tillsynsbegäran.docx", "A 55174-2024")</f>
        <v/>
      </c>
      <c r="AD21">
        <f>HYPERLINK("https://klasma.github.io/Logging_1473/tillsynsmail/A 55174-2024 tillsynsbegäran mail.docx", "A 55174-2024")</f>
        <v/>
      </c>
    </row>
    <row r="22" ht="15" customHeight="1">
      <c r="A22" t="inlineStr">
        <is>
          <t>A 1591-2023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46284</v>
      </c>
      <c r="F22" t="inlineStr">
        <is>
          <t>VÄSTRA GÖTALANDS LÄN</t>
        </is>
      </c>
      <c r="G22" t="inlineStr">
        <is>
          <t>TÖREBODA</t>
        </is>
      </c>
      <c r="I22" t="n">
        <v>10.1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Grantaggsvamp</t>
        </is>
      </c>
      <c r="W22">
        <f>HYPERLINK("https://klasma.github.io/Logging_1473/artfynd/A 1591-2023 artfynd.xlsx", "A 1591-2023")</f>
        <v/>
      </c>
      <c r="X22">
        <f>HYPERLINK("https://klasma.github.io/Logging_1473/kartor/A 1591-2023 karta.png", "A 1591-2023")</f>
        <v/>
      </c>
      <c r="Y22">
        <f>HYPERLINK("https://klasma.github.io/Logging_1473/kartor_geotiff/A 1591-2023 georefererad karta.tif", "A 1591-2023")</f>
        <v/>
      </c>
      <c r="AA22">
        <f>HYPERLINK("https://klasma.github.io/Logging_1473/klagomål/A 1591-2023 FSC-klagomål.docx", "A 1591-2023")</f>
        <v/>
      </c>
      <c r="AB22">
        <f>HYPERLINK("https://klasma.github.io/Logging_1473/klagomålsmail/A 1591-2023 FSC-klagomål mail.docx", "A 1591-2023")</f>
        <v/>
      </c>
      <c r="AC22">
        <f>HYPERLINK("https://klasma.github.io/Logging_1473/tillsyn/A 1591-2023 tillsynsbegäran.docx", "A 1591-2023")</f>
        <v/>
      </c>
      <c r="AD22">
        <f>HYPERLINK("https://klasma.github.io/Logging_1473/tillsynsmail/A 1591-2023 tillsynsbegäran mail.docx", "A 1591-2023")</f>
        <v/>
      </c>
    </row>
    <row r="23" ht="15" customHeight="1">
      <c r="A23" t="inlineStr">
        <is>
          <t>A 9985-2023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44985</v>
      </c>
      <c r="E23" s="1" t="n">
        <v>46284</v>
      </c>
      <c r="F23" t="inlineStr">
        <is>
          <t>VÄSTRA GÖTALANDS LÄN</t>
        </is>
      </c>
      <c r="G23" t="inlineStr">
        <is>
          <t>TÖREBODA</t>
        </is>
      </c>
      <c r="I23" t="n">
        <v>5.5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HYPERLINK("https://klasma.github.io/Logging_1473/artfynd/A 9985-2023 artfynd.xlsx", "A 9985-2023")</f>
        <v/>
      </c>
      <c r="X23">
        <f>HYPERLINK("https://klasma.github.io/Logging_1473/kartor/A 9985-2023 karta.png", "A 9985-2023")</f>
        <v/>
      </c>
      <c r="Y23">
        <f>HYPERLINK("https://klasma.github.io/Logging_1473/kartor_geotiff/A 9985-2023 georefererad karta.tif", "A 9985-2023")</f>
        <v/>
      </c>
      <c r="AA23">
        <f>HYPERLINK("https://klasma.github.io/Logging_1473/klagomål/A 9985-2023 FSC-klagomål.docx", "A 9985-2023")</f>
        <v/>
      </c>
      <c r="AB23">
        <f>HYPERLINK("https://klasma.github.io/Logging_1473/klagomålsmail/A 9985-2023 FSC-klagomål mail.docx", "A 9985-2023")</f>
        <v/>
      </c>
      <c r="AC23">
        <f>HYPERLINK("https://klasma.github.io/Logging_1473/tillsyn/A 9985-2023 tillsynsbegäran.docx", "A 9985-2023")</f>
        <v/>
      </c>
      <c r="AD23">
        <f>HYPERLINK("https://klasma.github.io/Logging_1473/tillsynsmail/A 9985-2023 tillsynsbegäran mail.docx", "A 9985-2023")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46284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6160-2023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46284</v>
      </c>
      <c r="F25" t="inlineStr">
        <is>
          <t>VÄSTRA GÖTALANDS LÄN</t>
        </is>
      </c>
      <c r="G25" t="inlineStr">
        <is>
          <t>TÖREBODA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Havsörn</t>
        </is>
      </c>
      <c r="W25">
        <f>HYPERLINK("https://klasma.github.io/Logging_1473/artfynd/A 6160-2023 artfynd.xlsx", "A 6160-2023")</f>
        <v/>
      </c>
      <c r="X25">
        <f>HYPERLINK("https://klasma.github.io/Logging_1473/kartor/A 6160-2023 karta.png", "A 6160-2023")</f>
        <v/>
      </c>
      <c r="Y25">
        <f>HYPERLINK("https://klasma.github.io/Logging_1473/kartor_geotiff/A 6160-2023 georefererad karta.tif", "A 6160-2023")</f>
        <v/>
      </c>
      <c r="AA25">
        <f>HYPERLINK("https://klasma.github.io/Logging_1473/klagomål/A 6160-2023 FSC-klagomål.docx", "A 6160-2023")</f>
        <v/>
      </c>
      <c r="AB25">
        <f>HYPERLINK("https://klasma.github.io/Logging_1473/klagomålsmail/A 6160-2023 FSC-klagomål mail.docx", "A 6160-2023")</f>
        <v/>
      </c>
      <c r="AC25">
        <f>HYPERLINK("https://klasma.github.io/Logging_1473/tillsyn/A 6160-2023 tillsynsbegäran.docx", "A 6160-2023")</f>
        <v/>
      </c>
      <c r="AD25">
        <f>HYPERLINK("https://klasma.github.io/Logging_1473/tillsynsmail/A 6160-2023 tillsynsbegäran mail.docx", "A 6160-2023")</f>
        <v/>
      </c>
      <c r="AE25">
        <f>HYPERLINK("https://klasma.github.io/Logging_1473/fåglar/A 6160-2023 prioriterade fågelarter.docx", "A 6160-2023")</f>
        <v/>
      </c>
    </row>
    <row r="26" ht="15" customHeight="1">
      <c r="A26" t="inlineStr">
        <is>
          <t>A 8266-2022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46284</v>
      </c>
      <c r="F26" t="inlineStr">
        <is>
          <t>VÄSTRA GÖTALANDS LÄN</t>
        </is>
      </c>
      <c r="G26" t="inlineStr">
        <is>
          <t>TÖREBODA</t>
        </is>
      </c>
      <c r="H26" t="inlineStr">
        <is>
          <t>Sveaskog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Dofttaggsvamp</t>
        </is>
      </c>
      <c r="W26">
        <f>HYPERLINK("https://klasma.github.io/Logging_1473/artfynd/A 8266-2022 artfynd.xlsx", "A 8266-2022")</f>
        <v/>
      </c>
      <c r="X26">
        <f>HYPERLINK("https://klasma.github.io/Logging_1473/kartor/A 8266-2022 karta.png", "A 8266-2022")</f>
        <v/>
      </c>
      <c r="Y26">
        <f>HYPERLINK("https://klasma.github.io/Logging_1473/kartor_geotiff/A 8266-2022 georefererad karta.tif", "A 8266-2022")</f>
        <v/>
      </c>
      <c r="AA26">
        <f>HYPERLINK("https://klasma.github.io/Logging_1473/klagomål/A 8266-2022 FSC-klagomål.docx", "A 8266-2022")</f>
        <v/>
      </c>
      <c r="AB26">
        <f>HYPERLINK("https://klasma.github.io/Logging_1473/klagomålsmail/A 8266-2022 FSC-klagomål mail.docx", "A 8266-2022")</f>
        <v/>
      </c>
      <c r="AC26">
        <f>HYPERLINK("https://klasma.github.io/Logging_1473/tillsyn/A 8266-2022 tillsynsbegäran.docx", "A 8266-2022")</f>
        <v/>
      </c>
      <c r="AD26">
        <f>HYPERLINK("https://klasma.github.io/Logging_1473/tillsynsmail/A 8266-2022 tillsynsbegäran mail.docx", "A 8266-2022")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46284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30816-2026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46212</v>
      </c>
      <c r="E28" s="1" t="n">
        <v>46284</v>
      </c>
      <c r="F28" t="inlineStr">
        <is>
          <t>VÄSTRA GÖTALANDS LÄN</t>
        </is>
      </c>
      <c r="G28" t="inlineStr">
        <is>
          <t>TÖREBODA</t>
        </is>
      </c>
      <c r="H28" t="inlineStr">
        <is>
          <t>Kyrkan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HYPERLINK("https://klasma.github.io/Logging_1473/artfynd/A 30816-2026 artfynd.xlsx", "A 30816-2026")</f>
        <v/>
      </c>
      <c r="X28">
        <f>HYPERLINK("https://klasma.github.io/Logging_1473/kartor/A 30816-2026 karta.png", "A 30816-2026")</f>
        <v/>
      </c>
      <c r="Y28">
        <f>HYPERLINK("https://klasma.github.io/Logging_1473/kartor_geotiff/A 30816-2026 georefererad karta.tif", "A 30816-2026")</f>
        <v/>
      </c>
      <c r="AA28">
        <f>HYPERLINK("https://klasma.github.io/Logging_1473/klagomål/A 30816-2026 FSC-klagomål.docx", "A 30816-2026")</f>
        <v/>
      </c>
      <c r="AB28">
        <f>HYPERLINK("https://klasma.github.io/Logging_1473/klagomålsmail/A 30816-2026 FSC-klagomål mail.docx", "A 30816-2026")</f>
        <v/>
      </c>
      <c r="AC28">
        <f>HYPERLINK("https://klasma.github.io/Logging_1473/tillsyn/A 30816-2026 tillsynsbegäran.docx", "A 30816-2026")</f>
        <v/>
      </c>
      <c r="AD28">
        <f>HYPERLINK("https://klasma.github.io/Logging_1473/tillsynsmail/A 30816-2026 tillsynsbegäran mail.docx", "A 30816-2026")</f>
        <v/>
      </c>
      <c r="AE28">
        <f>HYPERLINK("https://klasma.github.io/Logging_1473/fåglar/A 30816-2026 prioriterade fågelarter.docx", "A 30816-2026")</f>
        <v/>
      </c>
    </row>
    <row r="29" ht="15" customHeight="1">
      <c r="A29" t="inlineStr">
        <is>
          <t>A 37240-2026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46284</v>
      </c>
      <c r="F29" t="inlineStr">
        <is>
          <t>VÄSTRA GÖTALANDS LÄN</t>
        </is>
      </c>
      <c r="G29" t="inlineStr">
        <is>
          <t>TÖREBODA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HYPERLINK("https://klasma.github.io/Logging_1473/artfynd/A 37240-2026 artfynd.xlsx", "A 37240-2026")</f>
        <v/>
      </c>
      <c r="X29">
        <f>HYPERLINK("https://klasma.github.io/Logging_1473/kartor/A 37240-2026 karta.png", "A 37240-2026")</f>
        <v/>
      </c>
      <c r="Y29">
        <f>HYPERLINK("https://klasma.github.io/Logging_1473/kartor_geotiff/A 37240-2026 georefererad karta.tif", "A 37240-2026")</f>
        <v/>
      </c>
      <c r="AA29">
        <f>HYPERLINK("https://klasma.github.io/Logging_1473/klagomål/A 37240-2026 FSC-klagomål.docx", "A 37240-2026")</f>
        <v/>
      </c>
      <c r="AB29">
        <f>HYPERLINK("https://klasma.github.io/Logging_1473/klagomålsmail/A 37240-2026 FSC-klagomål mail.docx", "A 37240-2026")</f>
        <v/>
      </c>
      <c r="AC29">
        <f>HYPERLINK("https://klasma.github.io/Logging_1473/tillsyn/A 37240-2026 tillsynsbegäran.docx", "A 37240-2026")</f>
        <v/>
      </c>
      <c r="AD29">
        <f>HYPERLINK("https://klasma.github.io/Logging_1473/tillsynsmail/A 37240-2026 tillsynsbegäran mail.docx", "A 37240-2026")</f>
        <v/>
      </c>
    </row>
    <row r="30" ht="15" customHeight="1">
      <c r="A30" t="inlineStr">
        <is>
          <t>A 12168-2025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45729</v>
      </c>
      <c r="E30" s="1" t="n">
        <v>46284</v>
      </c>
      <c r="F30" t="inlineStr">
        <is>
          <t>VÄSTRA GÖTALANDS LÄN</t>
        </is>
      </c>
      <c r="G30" t="inlineStr">
        <is>
          <t>TÖREBODA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HYPERLINK("https://klasma.github.io/Logging_1473/artfynd/A 12168-2025 artfynd.xlsx", "A 12168-2025")</f>
        <v/>
      </c>
      <c r="X30">
        <f>HYPERLINK("https://klasma.github.io/Logging_1473/kartor/A 12168-2025 karta.png", "A 12168-2025")</f>
        <v/>
      </c>
      <c r="Y30">
        <f>HYPERLINK("https://klasma.github.io/Logging_1473/kartor_geotiff/A 12168-2025 georefererad karta.tif", "A 12168-2025")</f>
        <v/>
      </c>
      <c r="AA30">
        <f>HYPERLINK("https://klasma.github.io/Logging_1473/klagomål/A 12168-2025 FSC-klagomål.docx", "A 12168-2025")</f>
        <v/>
      </c>
      <c r="AB30">
        <f>HYPERLINK("https://klasma.github.io/Logging_1473/klagomålsmail/A 12168-2025 FSC-klagomål mail.docx", "A 12168-2025")</f>
        <v/>
      </c>
      <c r="AC30">
        <f>HYPERLINK("https://klasma.github.io/Logging_1473/tillsyn/A 12168-2025 tillsynsbegäran.docx", "A 12168-2025")</f>
        <v/>
      </c>
      <c r="AD30">
        <f>HYPERLINK("https://klasma.github.io/Logging_1473/tillsynsmail/A 12168-2025 tillsynsbegäran mail.docx", "A 12168-2025")</f>
        <v/>
      </c>
      <c r="AE30">
        <f>HYPERLINK("https://klasma.github.io/Logging_1473/fåglar/A 12168-2025 prioriterade fågelarter.docx", "A 12168-2025")</f>
        <v/>
      </c>
    </row>
    <row r="31" ht="15" customHeight="1">
      <c r="A31" t="inlineStr">
        <is>
          <t>A 17540-2025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46284</v>
      </c>
      <c r="F31" t="inlineStr">
        <is>
          <t>VÄSTRA GÖTALANDS LÄN</t>
        </is>
      </c>
      <c r="G31" t="inlineStr">
        <is>
          <t>TÖREBODA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Vattenfladdermus</t>
        </is>
      </c>
      <c r="W31">
        <f>HYPERLINK("https://klasma.github.io/Logging_1473/artfynd/A 17540-2025 artfynd.xlsx", "A 17540-2025")</f>
        <v/>
      </c>
      <c r="X31">
        <f>HYPERLINK("https://klasma.github.io/Logging_1473/kartor/A 17540-2025 karta.png", "A 17540-2025")</f>
        <v/>
      </c>
      <c r="Y31">
        <f>HYPERLINK("https://klasma.github.io/Logging_1473/kartor_geotiff/A 17540-2025 georefererad karta.tif", "A 17540-2025")</f>
        <v/>
      </c>
      <c r="AA31">
        <f>HYPERLINK("https://klasma.github.io/Logging_1473/klagomål/A 17540-2025 FSC-klagomål.docx", "A 17540-2025")</f>
        <v/>
      </c>
      <c r="AB31">
        <f>HYPERLINK("https://klasma.github.io/Logging_1473/klagomålsmail/A 17540-2025 FSC-klagomål mail.docx", "A 17540-2025")</f>
        <v/>
      </c>
      <c r="AC31">
        <f>HYPERLINK("https://klasma.github.io/Logging_1473/tillsyn/A 17540-2025 tillsynsbegäran.docx", "A 17540-2025")</f>
        <v/>
      </c>
      <c r="AD31">
        <f>HYPERLINK("https://klasma.github.io/Logging_1473/tillsynsmail/A 17540-2025 tillsynsbegäran mail.docx", "A 17540-2025")</f>
        <v/>
      </c>
    </row>
    <row r="32" ht="15" customHeight="1">
      <c r="A32" t="inlineStr">
        <is>
          <t>A 14755-2025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45742</v>
      </c>
      <c r="E32" s="1" t="n">
        <v>46284</v>
      </c>
      <c r="F32" t="inlineStr">
        <is>
          <t>VÄSTRA GÖTALANDS LÄN</t>
        </is>
      </c>
      <c r="G32" t="inlineStr">
        <is>
          <t>TÖREBODA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Mattlummer</t>
        </is>
      </c>
      <c r="W32">
        <f>HYPERLINK("https://klasma.github.io/Logging_1473/artfynd/A 14755-2025 artfynd.xlsx", "A 14755-2025")</f>
        <v/>
      </c>
      <c r="X32">
        <f>HYPERLINK("https://klasma.github.io/Logging_1473/kartor/A 14755-2025 karta.png", "A 14755-2025")</f>
        <v/>
      </c>
      <c r="Y32">
        <f>HYPERLINK("https://klasma.github.io/Logging_1473/kartor_geotiff/A 14755-2025 georefererad karta.tif", "A 14755-2025")</f>
        <v/>
      </c>
      <c r="AA32">
        <f>HYPERLINK("https://klasma.github.io/Logging_1473/klagomål/A 14755-2025 FSC-klagomål.docx", "A 14755-2025")</f>
        <v/>
      </c>
      <c r="AB32">
        <f>HYPERLINK("https://klasma.github.io/Logging_1473/klagomålsmail/A 14755-2025 FSC-klagomål mail.docx", "A 14755-2025")</f>
        <v/>
      </c>
      <c r="AC32">
        <f>HYPERLINK("https://klasma.github.io/Logging_1473/tillsyn/A 14755-2025 tillsynsbegäran.docx", "A 14755-2025")</f>
        <v/>
      </c>
      <c r="AD32">
        <f>HYPERLINK("https://klasma.github.io/Logging_1473/tillsynsmail/A 14755-2025 tillsynsbegäran mail.docx", "A 14755-2025")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46284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46284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46284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46284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46284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46284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46284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46284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46284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46284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46284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46284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46284</v>
      </c>
      <c r="F45" t="inlineStr">
        <is>
          <t>VÄSTRA GÖTALANDS LÄN</t>
        </is>
      </c>
      <c r="G45" t="inlineStr">
        <is>
          <t>TÖREBODA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46284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46284</v>
      </c>
      <c r="F47" t="inlineStr">
        <is>
          <t>VÄSTRA GÖTALANDS LÄN</t>
        </is>
      </c>
      <c r="G47" t="inlineStr">
        <is>
          <t>TÖREBODA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46284</v>
      </c>
      <c r="F48" t="inlineStr">
        <is>
          <t>VÄSTRA GÖTALANDS LÄN</t>
        </is>
      </c>
      <c r="G48" t="inlineStr">
        <is>
          <t>TÖREBODA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46284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46284</v>
      </c>
      <c r="F50" t="inlineStr">
        <is>
          <t>VÄSTRA GÖTALANDS LÄN</t>
        </is>
      </c>
      <c r="G50" t="inlineStr">
        <is>
          <t>TÖREBODA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44719</v>
      </c>
      <c r="E51" s="1" t="n">
        <v>46284</v>
      </c>
      <c r="F51" t="inlineStr">
        <is>
          <t>VÄSTRA GÖTALANDS LÄN</t>
        </is>
      </c>
      <c r="G51" t="inlineStr">
        <is>
          <t>TÖREBODA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44754</v>
      </c>
      <c r="E52" s="1" t="n">
        <v>46284</v>
      </c>
      <c r="F52" t="inlineStr">
        <is>
          <t>VÄSTRA GÖTALANDS LÄN</t>
        </is>
      </c>
      <c r="G52" t="inlineStr">
        <is>
          <t>TÖREBODA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46284</v>
      </c>
      <c r="F53" t="inlineStr">
        <is>
          <t>VÄSTRA GÖTALANDS LÄN</t>
        </is>
      </c>
      <c r="G53" t="inlineStr">
        <is>
          <t>TÖREBODA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44601</v>
      </c>
      <c r="E54" s="1" t="n">
        <v>46284</v>
      </c>
      <c r="F54" t="inlineStr">
        <is>
          <t>VÄSTRA GÖTALANDS LÄN</t>
        </is>
      </c>
      <c r="G54" t="inlineStr">
        <is>
          <t>TÖREBODA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46284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46284</v>
      </c>
      <c r="F56" t="inlineStr">
        <is>
          <t>VÄSTRA GÖTALANDS LÄN</t>
        </is>
      </c>
      <c r="G56" t="inlineStr">
        <is>
          <t>TÖREBODA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46284</v>
      </c>
      <c r="F57" t="inlineStr">
        <is>
          <t>VÄSTRA GÖTALANDS LÄN</t>
        </is>
      </c>
      <c r="G57" t="inlineStr">
        <is>
          <t>TÖREBODA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46284</v>
      </c>
      <c r="F58" t="inlineStr">
        <is>
          <t>VÄSTRA GÖTALANDS LÄN</t>
        </is>
      </c>
      <c r="G58" t="inlineStr">
        <is>
          <t>TÖREBODA</t>
        </is>
      </c>
      <c r="H58" t="inlineStr">
        <is>
          <t>Kyrkan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46284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46284</v>
      </c>
      <c r="F60" t="inlineStr">
        <is>
          <t>VÄSTRA GÖTALANDS LÄN</t>
        </is>
      </c>
      <c r="G60" t="inlineStr">
        <is>
          <t>TÖREBODA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69286-2021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46284</v>
      </c>
      <c r="F61" t="inlineStr">
        <is>
          <t>VÄSTRA GÖTALANDS LÄN</t>
        </is>
      </c>
      <c r="G61" t="inlineStr">
        <is>
          <t>TÖREBODA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44852</v>
      </c>
      <c r="E62" s="1" t="n">
        <v>46284</v>
      </c>
      <c r="F62" t="inlineStr">
        <is>
          <t>VÄSTRA GÖTALANDS LÄN</t>
        </is>
      </c>
      <c r="G62" t="inlineStr">
        <is>
          <t>TÖREBODA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46284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46284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46284</v>
      </c>
      <c r="F65" t="inlineStr">
        <is>
          <t>VÄSTRA GÖTALANDS LÄN</t>
        </is>
      </c>
      <c r="G65" t="inlineStr">
        <is>
          <t>TÖREBODA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24363-2024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45457</v>
      </c>
      <c r="E66" s="1" t="n">
        <v>46284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Övriga statliga verk och myndigheter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46284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46284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46284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46284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46284</v>
      </c>
      <c r="F71" t="inlineStr">
        <is>
          <t>VÄSTRA GÖTALANDS LÄN</t>
        </is>
      </c>
      <c r="G71" t="inlineStr">
        <is>
          <t>TÖREBODA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46284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46284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44956</v>
      </c>
      <c r="E74" s="1" t="n">
        <v>46284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11680-2024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45373</v>
      </c>
      <c r="E75" s="1" t="n">
        <v>46284</v>
      </c>
      <c r="F75" t="inlineStr">
        <is>
          <t>VÄSTRA GÖTALANDS LÄN</t>
        </is>
      </c>
      <c r="G75" t="inlineStr">
        <is>
          <t>TÖREBODA</t>
        </is>
      </c>
      <c r="I75" t="n">
        <v>12.3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46284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46284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46284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46284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46284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46284</v>
      </c>
      <c r="F81" t="inlineStr">
        <is>
          <t>VÄSTRA GÖTALANDS LÄN</t>
        </is>
      </c>
      <c r="G81" t="inlineStr">
        <is>
          <t>TÖREBODA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45344</v>
      </c>
      <c r="E82" s="1" t="n">
        <v>46284</v>
      </c>
      <c r="F82" t="inlineStr">
        <is>
          <t>VÄSTRA GÖTALANDS LÄN</t>
        </is>
      </c>
      <c r="G82" t="inlineStr">
        <is>
          <t>TÖREBODA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46284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44664</v>
      </c>
      <c r="E84" s="1" t="n">
        <v>46284</v>
      </c>
      <c r="F84" t="inlineStr">
        <is>
          <t>VÄSTRA GÖTALANDS LÄN</t>
        </is>
      </c>
      <c r="G84" t="inlineStr">
        <is>
          <t>TÖREBODA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45651</v>
      </c>
      <c r="E85" s="1" t="n">
        <v>46284</v>
      </c>
      <c r="F85" t="inlineStr">
        <is>
          <t>VÄSTRA GÖTALANDS LÄN</t>
        </is>
      </c>
      <c r="G85" t="inlineStr">
        <is>
          <t>TÖREBODA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46284</v>
      </c>
      <c r="F86" t="inlineStr">
        <is>
          <t>VÄSTRA GÖTALANDS LÄN</t>
        </is>
      </c>
      <c r="G86" t="inlineStr">
        <is>
          <t>TÖREBODA</t>
        </is>
      </c>
      <c r="H86" t="inlineStr">
        <is>
          <t>Kyrkan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46284</v>
      </c>
      <c r="F87" t="inlineStr">
        <is>
          <t>VÄSTRA GÖTALANDS LÄN</t>
        </is>
      </c>
      <c r="G87" t="inlineStr">
        <is>
          <t>TÖREBODA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46284</v>
      </c>
      <c r="F88" t="inlineStr">
        <is>
          <t>VÄSTRA GÖTALANDS LÄN</t>
        </is>
      </c>
      <c r="G88" t="inlineStr">
        <is>
          <t>TÖREBODA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45309</v>
      </c>
      <c r="E89" s="1" t="n">
        <v>46284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46284</v>
      </c>
      <c r="F90" t="inlineStr">
        <is>
          <t>VÄSTRA GÖTALANDS LÄN</t>
        </is>
      </c>
      <c r="G90" t="inlineStr">
        <is>
          <t>TÖREBODA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45531</v>
      </c>
      <c r="E91" s="1" t="n">
        <v>46284</v>
      </c>
      <c r="F91" t="inlineStr">
        <is>
          <t>VÄSTRA GÖTALANDS LÄN</t>
        </is>
      </c>
      <c r="G91" t="inlineStr">
        <is>
          <t>TÖREBODA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45450</v>
      </c>
      <c r="E92" s="1" t="n">
        <v>46284</v>
      </c>
      <c r="F92" t="inlineStr">
        <is>
          <t>VÄSTRA GÖTALANDS LÄN</t>
        </is>
      </c>
      <c r="G92" t="inlineStr">
        <is>
          <t>TÖREBODA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45485</v>
      </c>
      <c r="E93" s="1" t="n">
        <v>46284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45189</v>
      </c>
      <c r="E94" s="1" t="n">
        <v>46284</v>
      </c>
      <c r="F94" t="inlineStr">
        <is>
          <t>VÄSTRA GÖTALANDS LÄN</t>
        </is>
      </c>
      <c r="G94" t="inlineStr">
        <is>
          <t>TÖREBODA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46284</v>
      </c>
      <c r="F95" t="inlineStr">
        <is>
          <t>VÄSTRA GÖTALANDS LÄN</t>
        </is>
      </c>
      <c r="G95" t="inlineStr">
        <is>
          <t>TÖREBODA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46284</v>
      </c>
      <c r="F96" t="inlineStr">
        <is>
          <t>VÄSTRA GÖTALANDS LÄN</t>
        </is>
      </c>
      <c r="G96" t="inlineStr">
        <is>
          <t>TÖREBODA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45282</v>
      </c>
      <c r="E97" s="1" t="n">
        <v>46284</v>
      </c>
      <c r="F97" t="inlineStr">
        <is>
          <t>VÄSTRA GÖTALANDS LÄN</t>
        </is>
      </c>
      <c r="G97" t="inlineStr">
        <is>
          <t>TÖREBODA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46284</v>
      </c>
      <c r="F98" t="inlineStr">
        <is>
          <t>VÄSTRA GÖTALANDS LÄN</t>
        </is>
      </c>
      <c r="G98" t="inlineStr">
        <is>
          <t>TÖREBODA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46284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46284</v>
      </c>
      <c r="F100" t="inlineStr">
        <is>
          <t>VÄSTRA GÖTALANDS LÄN</t>
        </is>
      </c>
      <c r="G100" t="inlineStr">
        <is>
          <t>TÖREBODA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46284</v>
      </c>
      <c r="F101" t="inlineStr">
        <is>
          <t>VÄSTRA GÖTALANDS LÄN</t>
        </is>
      </c>
      <c r="G101" t="inlineStr">
        <is>
          <t>TÖREBODA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46284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46284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46284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45457</v>
      </c>
      <c r="E105" s="1" t="n">
        <v>46284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46284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44950</v>
      </c>
      <c r="E107" s="1" t="n">
        <v>46284</v>
      </c>
      <c r="F107" t="inlineStr">
        <is>
          <t>VÄSTRA GÖTALANDS LÄN</t>
        </is>
      </c>
      <c r="G107" t="inlineStr">
        <is>
          <t>TÖREBODA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44894</v>
      </c>
      <c r="E108" s="1" t="n">
        <v>46284</v>
      </c>
      <c r="F108" t="inlineStr">
        <is>
          <t>VÄSTRA GÖTALANDS LÄN</t>
        </is>
      </c>
      <c r="G108" t="inlineStr">
        <is>
          <t>TÖREBODA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45627</v>
      </c>
      <c r="E109" s="1" t="n">
        <v>46284</v>
      </c>
      <c r="F109" t="inlineStr">
        <is>
          <t>VÄSTRA GÖTALANDS LÄN</t>
        </is>
      </c>
      <c r="G109" t="inlineStr">
        <is>
          <t>TÖREBODA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44740</v>
      </c>
      <c r="E110" s="1" t="n">
        <v>46284</v>
      </c>
      <c r="F110" t="inlineStr">
        <is>
          <t>VÄSTRA GÖTALANDS LÄN</t>
        </is>
      </c>
      <c r="G110" t="inlineStr">
        <is>
          <t>TÖREBODA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46284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46284</v>
      </c>
      <c r="F112" t="inlineStr">
        <is>
          <t>VÄSTRA GÖTALANDS LÄN</t>
        </is>
      </c>
      <c r="G112" t="inlineStr">
        <is>
          <t>TÖREBODA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46284</v>
      </c>
      <c r="F113" t="inlineStr">
        <is>
          <t>VÄSTRA GÖTALANDS LÄN</t>
        </is>
      </c>
      <c r="G113" t="inlineStr">
        <is>
          <t>TÖREBODA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46284</v>
      </c>
      <c r="F114" t="inlineStr">
        <is>
          <t>VÄSTRA GÖTALANDS LÄN</t>
        </is>
      </c>
      <c r="G114" t="inlineStr">
        <is>
          <t>TÖREBODA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46284</v>
      </c>
      <c r="F115" t="inlineStr">
        <is>
          <t>VÄSTRA GÖTALANDS LÄN</t>
        </is>
      </c>
      <c r="G115" t="inlineStr">
        <is>
          <t>TÖREBODA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46284</v>
      </c>
      <c r="F116" t="inlineStr">
        <is>
          <t>VÄSTRA GÖTALANDS LÄN</t>
        </is>
      </c>
      <c r="G116" t="inlineStr">
        <is>
          <t>TÖREBODA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44924</v>
      </c>
      <c r="E117" s="1" t="n">
        <v>46284</v>
      </c>
      <c r="F117" t="inlineStr">
        <is>
          <t>VÄSTRA GÖTALANDS LÄN</t>
        </is>
      </c>
      <c r="G117" t="inlineStr">
        <is>
          <t>TÖREBODA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46284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46284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46284</v>
      </c>
      <c r="F120" t="inlineStr">
        <is>
          <t>VÄSTRA GÖTALANDS LÄN</t>
        </is>
      </c>
      <c r="G120" t="inlineStr">
        <is>
          <t>TÖREBODA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44860</v>
      </c>
      <c r="E121" s="1" t="n">
        <v>46284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45142</v>
      </c>
      <c r="E122" s="1" t="n">
        <v>46284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46284</v>
      </c>
      <c r="F123" t="inlineStr">
        <is>
          <t>VÄSTRA GÖTALANDS LÄN</t>
        </is>
      </c>
      <c r="G123" t="inlineStr">
        <is>
          <t>TÖREBODA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46284</v>
      </c>
      <c r="F124" t="inlineStr">
        <is>
          <t>VÄSTRA GÖTALANDS LÄN</t>
        </is>
      </c>
      <c r="G124" t="inlineStr">
        <is>
          <t>TÖREBODA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45885</v>
      </c>
      <c r="E125" s="1" t="n">
        <v>46284</v>
      </c>
      <c r="F125" t="inlineStr">
        <is>
          <t>VÄSTRA GÖTALANDS LÄN</t>
        </is>
      </c>
      <c r="G125" t="inlineStr">
        <is>
          <t>TÖREBODA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38706-2025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45885</v>
      </c>
      <c r="E126" s="1" t="n">
        <v>46284</v>
      </c>
      <c r="F126" t="inlineStr">
        <is>
          <t>VÄSTRA GÖTALANDS LÄN</t>
        </is>
      </c>
      <c r="G126" t="inlineStr">
        <is>
          <t>TÖREBODA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45399</v>
      </c>
      <c r="E127" s="1" t="n">
        <v>46284</v>
      </c>
      <c r="F127" t="inlineStr">
        <is>
          <t>VÄSTRA GÖTALANDS LÄN</t>
        </is>
      </c>
      <c r="G127" t="inlineStr">
        <is>
          <t>TÖREBODA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45552</v>
      </c>
      <c r="E128" s="1" t="n">
        <v>46284</v>
      </c>
      <c r="F128" t="inlineStr">
        <is>
          <t>VÄSTRA GÖTALANDS LÄN</t>
        </is>
      </c>
      <c r="G128" t="inlineStr">
        <is>
          <t>TÖREBODA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58213-2022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46284</v>
      </c>
      <c r="F129" t="inlineStr">
        <is>
          <t>VÄSTRA GÖTALANDS LÄN</t>
        </is>
      </c>
      <c r="G129" t="inlineStr">
        <is>
          <t>TÖREBODA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44924</v>
      </c>
      <c r="E130" s="1" t="n">
        <v>46284</v>
      </c>
      <c r="F130" t="inlineStr">
        <is>
          <t>VÄSTRA GÖTALANDS LÄN</t>
        </is>
      </c>
      <c r="G130" t="inlineStr">
        <is>
          <t>TÖREBODA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54734-2023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46284</v>
      </c>
      <c r="F131" t="inlineStr">
        <is>
          <t>VÄSTRA GÖTALANDS LÄN</t>
        </is>
      </c>
      <c r="G131" t="inlineStr">
        <is>
          <t>TÖREBODA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38704-2025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45885</v>
      </c>
      <c r="E132" s="1" t="n">
        <v>46284</v>
      </c>
      <c r="F132" t="inlineStr">
        <is>
          <t>VÄSTRA GÖTALANDS LÄN</t>
        </is>
      </c>
      <c r="G132" t="inlineStr">
        <is>
          <t>TÖREBODA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46284</v>
      </c>
      <c r="F133" t="inlineStr">
        <is>
          <t>VÄSTRA GÖTALANDS LÄN</t>
        </is>
      </c>
      <c r="G133" t="inlineStr">
        <is>
          <t>TÖREBODA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46284</v>
      </c>
      <c r="F134" t="inlineStr">
        <is>
          <t>VÄSTRA GÖTALANDS LÄN</t>
        </is>
      </c>
      <c r="G134" t="inlineStr">
        <is>
          <t>TÖREBODA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46284</v>
      </c>
      <c r="F135" t="inlineStr">
        <is>
          <t>VÄSTRA GÖTALANDS LÄN</t>
        </is>
      </c>
      <c r="G135" t="inlineStr">
        <is>
          <t>TÖREBODA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46284</v>
      </c>
      <c r="F136" t="inlineStr">
        <is>
          <t>VÄSTRA GÖTALANDS LÄN</t>
        </is>
      </c>
      <c r="G136" t="inlineStr">
        <is>
          <t>TÖREBODA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46284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Sveaskog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46284</v>
      </c>
      <c r="F138" t="inlineStr">
        <is>
          <t>VÄSTRA GÖTALANDS LÄN</t>
        </is>
      </c>
      <c r="G138" t="inlineStr">
        <is>
          <t>TÖREBODA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45915</v>
      </c>
      <c r="E139" s="1" t="n">
        <v>46284</v>
      </c>
      <c r="F139" t="inlineStr">
        <is>
          <t>VÄSTRA GÖTALANDS LÄN</t>
        </is>
      </c>
      <c r="G139" t="inlineStr">
        <is>
          <t>TÖREBODA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46284</v>
      </c>
      <c r="F140" t="inlineStr">
        <is>
          <t>VÄSTRA GÖTALANDS LÄN</t>
        </is>
      </c>
      <c r="G140" t="inlineStr">
        <is>
          <t>TÖREBODA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45803</v>
      </c>
      <c r="E141" s="1" t="n">
        <v>46284</v>
      </c>
      <c r="F141" t="inlineStr">
        <is>
          <t>VÄSTRA GÖTALANDS LÄN</t>
        </is>
      </c>
      <c r="G141" t="inlineStr">
        <is>
          <t>TÖREBODA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35232-2024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45530</v>
      </c>
      <c r="E142" s="1" t="n">
        <v>46284</v>
      </c>
      <c r="F142" t="inlineStr">
        <is>
          <t>VÄSTRA GÖTALANDS LÄN</t>
        </is>
      </c>
      <c r="G142" t="inlineStr">
        <is>
          <t>TÖREBODA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46284</v>
      </c>
      <c r="F143" t="inlineStr">
        <is>
          <t>VÄSTRA GÖTALANDS LÄN</t>
        </is>
      </c>
      <c r="G143" t="inlineStr">
        <is>
          <t>TÖREBODA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46284</v>
      </c>
      <c r="F144" t="inlineStr">
        <is>
          <t>VÄSTRA GÖTALANDS LÄN</t>
        </is>
      </c>
      <c r="G144" t="inlineStr">
        <is>
          <t>TÖREBODA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45924</v>
      </c>
      <c r="E145" s="1" t="n">
        <v>46284</v>
      </c>
      <c r="F145" t="inlineStr">
        <is>
          <t>VÄSTRA GÖTALANDS LÄN</t>
        </is>
      </c>
      <c r="G145" t="inlineStr">
        <is>
          <t>TÖREBODA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9651-2023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46284</v>
      </c>
      <c r="F146" t="inlineStr">
        <is>
          <t>VÄSTRA GÖTALANDS LÄN</t>
        </is>
      </c>
      <c r="G146" t="inlineStr">
        <is>
          <t>TÖREBODA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46284</v>
      </c>
      <c r="F147" t="inlineStr">
        <is>
          <t>VÄSTRA GÖTALANDS LÄN</t>
        </is>
      </c>
      <c r="G147" t="inlineStr">
        <is>
          <t>TÖREBODA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46284</v>
      </c>
      <c r="F148" t="inlineStr">
        <is>
          <t>VÄSTRA GÖTALANDS LÄN</t>
        </is>
      </c>
      <c r="G148" t="inlineStr">
        <is>
          <t>TÖREBODA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46284</v>
      </c>
      <c r="F149" t="inlineStr">
        <is>
          <t>VÄSTRA GÖTALANDS LÄN</t>
        </is>
      </c>
      <c r="G149" t="inlineStr">
        <is>
          <t>TÖREBODA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46284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46284</v>
      </c>
      <c r="F151" t="inlineStr">
        <is>
          <t>VÄSTRA GÖTALANDS LÄN</t>
        </is>
      </c>
      <c r="G151" t="inlineStr">
        <is>
          <t>TÖREBODA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46284</v>
      </c>
      <c r="F152" t="inlineStr">
        <is>
          <t>VÄSTRA GÖTALANDS LÄN</t>
        </is>
      </c>
      <c r="G152" t="inlineStr">
        <is>
          <t>TÖREBODA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46284</v>
      </c>
      <c r="F153" t="inlineStr">
        <is>
          <t>VÄSTRA GÖTALANDS LÄN</t>
        </is>
      </c>
      <c r="G153" t="inlineStr">
        <is>
          <t>TÖREBODA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46284</v>
      </c>
      <c r="F154" t="inlineStr">
        <is>
          <t>VÄSTRA GÖTALANDS LÄN</t>
        </is>
      </c>
      <c r="G154" t="inlineStr">
        <is>
          <t>TÖREBODA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49088-2025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46284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46284</v>
      </c>
      <c r="F156" t="inlineStr">
        <is>
          <t>VÄSTRA GÖTALANDS LÄN</t>
        </is>
      </c>
      <c r="G156" t="inlineStr">
        <is>
          <t>TÖREBODA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46284</v>
      </c>
      <c r="F157" t="inlineStr">
        <is>
          <t>VÄSTRA GÖTALANDS LÄN</t>
        </is>
      </c>
      <c r="G157" t="inlineStr">
        <is>
          <t>TÖREBODA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46284</v>
      </c>
      <c r="F158" t="inlineStr">
        <is>
          <t>VÄSTRA GÖTALANDS LÄN</t>
        </is>
      </c>
      <c r="G158" t="inlineStr">
        <is>
          <t>TÖREBODA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46284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45352</v>
      </c>
      <c r="E160" s="1" t="n">
        <v>46284</v>
      </c>
      <c r="F160" t="inlineStr">
        <is>
          <t>VÄSTRA GÖTALANDS LÄN</t>
        </is>
      </c>
      <c r="G160" t="inlineStr">
        <is>
          <t>TÖREBODA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45268</v>
      </c>
      <c r="E161" s="1" t="n">
        <v>46284</v>
      </c>
      <c r="F161" t="inlineStr">
        <is>
          <t>VÄSTRA GÖTALANDS LÄN</t>
        </is>
      </c>
      <c r="G161" t="inlineStr">
        <is>
          <t>TÖREBODA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46284</v>
      </c>
      <c r="F162" t="inlineStr">
        <is>
          <t>VÄSTRA GÖTALANDS LÄN</t>
        </is>
      </c>
      <c r="G162" t="inlineStr">
        <is>
          <t>TÖREBODA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46284</v>
      </c>
      <c r="F163" t="inlineStr">
        <is>
          <t>VÄSTRA GÖTALANDS LÄN</t>
        </is>
      </c>
      <c r="G163" t="inlineStr">
        <is>
          <t>TÖREBODA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45349</v>
      </c>
      <c r="E164" s="1" t="n">
        <v>46284</v>
      </c>
      <c r="F164" t="inlineStr">
        <is>
          <t>VÄSTRA GÖTALANDS LÄN</t>
        </is>
      </c>
      <c r="G164" t="inlineStr">
        <is>
          <t>TÖREBODA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46284</v>
      </c>
      <c r="F165" t="inlineStr">
        <is>
          <t>VÄSTRA GÖTALANDS LÄN</t>
        </is>
      </c>
      <c r="G165" t="inlineStr">
        <is>
          <t>TÖREBODA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46284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46152</v>
      </c>
      <c r="E167" s="1" t="n">
        <v>46284</v>
      </c>
      <c r="F167" t="inlineStr">
        <is>
          <t>VÄSTRA GÖTALANDS LÄN</t>
        </is>
      </c>
      <c r="G167" t="inlineStr">
        <is>
          <t>TÖREBODA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46152</v>
      </c>
      <c r="E168" s="1" t="n">
        <v>46284</v>
      </c>
      <c r="F168" t="inlineStr">
        <is>
          <t>VÄSTRA GÖTALANDS LÄN</t>
        </is>
      </c>
      <c r="G168" t="inlineStr">
        <is>
          <t>TÖREBODA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46152</v>
      </c>
      <c r="E169" s="1" t="n">
        <v>46284</v>
      </c>
      <c r="F169" t="inlineStr">
        <is>
          <t>VÄSTRA GÖTALANDS LÄN</t>
        </is>
      </c>
      <c r="G169" t="inlineStr">
        <is>
          <t>TÖREBODA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46152</v>
      </c>
      <c r="E170" s="1" t="n">
        <v>46284</v>
      </c>
      <c r="F170" t="inlineStr">
        <is>
          <t>VÄSTRA GÖTALANDS LÄN</t>
        </is>
      </c>
      <c r="G170" t="inlineStr">
        <is>
          <t>TÖREBODA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46152</v>
      </c>
      <c r="E171" s="1" t="n">
        <v>46284</v>
      </c>
      <c r="F171" t="inlineStr">
        <is>
          <t>VÄSTRA GÖTALANDS LÄN</t>
        </is>
      </c>
      <c r="G171" t="inlineStr">
        <is>
          <t>TÖREBODA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46284</v>
      </c>
      <c r="F172" t="inlineStr">
        <is>
          <t>VÄSTRA GÖTALANDS LÄN</t>
        </is>
      </c>
      <c r="G172" t="inlineStr">
        <is>
          <t>TÖREBODA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46284</v>
      </c>
      <c r="F173" t="inlineStr">
        <is>
          <t>VÄSTRA GÖTALANDS LÄN</t>
        </is>
      </c>
      <c r="G173" t="inlineStr">
        <is>
          <t>TÖREBODA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46284</v>
      </c>
      <c r="F174" t="inlineStr">
        <is>
          <t>VÄSTRA GÖTALANDS LÄN</t>
        </is>
      </c>
      <c r="G174" t="inlineStr">
        <is>
          <t>TÖREBODA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46284</v>
      </c>
      <c r="F175" t="inlineStr">
        <is>
          <t>VÄSTRA GÖTALANDS LÄN</t>
        </is>
      </c>
      <c r="G175" t="inlineStr">
        <is>
          <t>TÖREBODA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45961</v>
      </c>
      <c r="E176" s="1" t="n">
        <v>46284</v>
      </c>
      <c r="F176" t="inlineStr">
        <is>
          <t>VÄSTRA GÖTALANDS LÄN</t>
        </is>
      </c>
      <c r="G176" t="inlineStr">
        <is>
          <t>TÖREBODA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45460</v>
      </c>
      <c r="E177" s="1" t="n">
        <v>46284</v>
      </c>
      <c r="F177" t="inlineStr">
        <is>
          <t>VÄSTRA GÖTALANDS LÄN</t>
        </is>
      </c>
      <c r="G177" t="inlineStr">
        <is>
          <t>TÖREBODA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46284</v>
      </c>
      <c r="F178" t="inlineStr">
        <is>
          <t>VÄSTRA GÖTALANDS LÄN</t>
        </is>
      </c>
      <c r="G178" t="inlineStr">
        <is>
          <t>TÖREBODA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46152</v>
      </c>
      <c r="E179" s="1" t="n">
        <v>46284</v>
      </c>
      <c r="F179" t="inlineStr">
        <is>
          <t>VÄSTRA GÖTALANDS LÄN</t>
        </is>
      </c>
      <c r="G179" t="inlineStr">
        <is>
          <t>TÖREBODA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45685</v>
      </c>
      <c r="E180" s="1" t="n">
        <v>46284</v>
      </c>
      <c r="F180" t="inlineStr">
        <is>
          <t>VÄSTRA GÖTALANDS LÄN</t>
        </is>
      </c>
      <c r="G180" t="inlineStr">
        <is>
          <t>TÖREBODA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46284</v>
      </c>
      <c r="F181" t="inlineStr">
        <is>
          <t>VÄSTRA GÖTALANDS LÄN</t>
        </is>
      </c>
      <c r="G181" t="inlineStr">
        <is>
          <t>TÖREBODA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63113-2023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46284</v>
      </c>
      <c r="F182" t="inlineStr">
        <is>
          <t>VÄSTRA GÖTALANDS LÄN</t>
        </is>
      </c>
      <c r="G182" t="inlineStr">
        <is>
          <t>TÖREBODA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55593-2025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45971</v>
      </c>
      <c r="E183" s="1" t="n">
        <v>46284</v>
      </c>
      <c r="F183" t="inlineStr">
        <is>
          <t>VÄSTRA GÖTALANDS LÄN</t>
        </is>
      </c>
      <c r="G183" t="inlineStr">
        <is>
          <t>TÖREBODA</t>
        </is>
      </c>
      <c r="I183" t="n">
        <v>20.8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46284</v>
      </c>
      <c r="F184" t="inlineStr">
        <is>
          <t>VÄSTRA GÖTALANDS LÄN</t>
        </is>
      </c>
      <c r="G184" t="inlineStr">
        <is>
          <t>TÖREBODA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46284</v>
      </c>
      <c r="F185" t="inlineStr">
        <is>
          <t>VÄSTRA GÖTALANDS LÄN</t>
        </is>
      </c>
      <c r="G185" t="inlineStr">
        <is>
          <t>TÖREBODA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45972</v>
      </c>
      <c r="E186" s="1" t="n">
        <v>46284</v>
      </c>
      <c r="F186" t="inlineStr">
        <is>
          <t>VÄSTRA GÖTALANDS LÄN</t>
        </is>
      </c>
      <c r="G186" t="inlineStr">
        <is>
          <t>TÖREBODA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46284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Sveaskog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55766-2025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45972</v>
      </c>
      <c r="E188" s="1" t="n">
        <v>46284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45972</v>
      </c>
      <c r="E189" s="1" t="n">
        <v>46284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46284</v>
      </c>
      <c r="F190" t="inlineStr">
        <is>
          <t>VÄSTRA GÖTALANDS LÄN</t>
        </is>
      </c>
      <c r="G190" t="inlineStr">
        <is>
          <t>TÖREBODA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46284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Övriga statliga verk och myndigheter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46284</v>
      </c>
      <c r="F192" t="inlineStr">
        <is>
          <t>VÄSTRA GÖTALANDS LÄN</t>
        </is>
      </c>
      <c r="G192" t="inlineStr">
        <is>
          <t>TÖREBODA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45627</v>
      </c>
      <c r="E193" s="1" t="n">
        <v>46284</v>
      </c>
      <c r="F193" t="inlineStr">
        <is>
          <t>VÄSTRA GÖTALANDS LÄN</t>
        </is>
      </c>
      <c r="G193" t="inlineStr">
        <is>
          <t>TÖREBODA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44792</v>
      </c>
      <c r="E194" s="1" t="n">
        <v>46284</v>
      </c>
      <c r="F194" t="inlineStr">
        <is>
          <t>VÄSTRA GÖTALANDS LÄN</t>
        </is>
      </c>
      <c r="G194" t="inlineStr">
        <is>
          <t>TÖREBODA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45156</v>
      </c>
      <c r="E195" s="1" t="n">
        <v>46284</v>
      </c>
      <c r="F195" t="inlineStr">
        <is>
          <t>VÄSTRA GÖTALANDS LÄN</t>
        </is>
      </c>
      <c r="G195" t="inlineStr">
        <is>
          <t>TÖREBODA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46284</v>
      </c>
      <c r="F196" t="inlineStr">
        <is>
          <t>VÄSTRA GÖTALANDS LÄN</t>
        </is>
      </c>
      <c r="G196" t="inlineStr">
        <is>
          <t>TÖREBODA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11683-2024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45373</v>
      </c>
      <c r="E197" s="1" t="n">
        <v>46284</v>
      </c>
      <c r="F197" t="inlineStr">
        <is>
          <t>VÄSTRA GÖTALANDS LÄN</t>
        </is>
      </c>
      <c r="G197" t="inlineStr">
        <is>
          <t>TÖREBODA</t>
        </is>
      </c>
      <c r="I197" t="n">
        <v>23.8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46284</v>
      </c>
      <c r="F198" t="inlineStr">
        <is>
          <t>VÄSTRA GÖTALANDS LÄN</t>
        </is>
      </c>
      <c r="G198" t="inlineStr">
        <is>
          <t>TÖREBODA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51040-2022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44868</v>
      </c>
      <c r="E199" s="1" t="n">
        <v>46284</v>
      </c>
      <c r="F199" t="inlineStr">
        <is>
          <t>VÄSTRA GÖTALANDS LÄN</t>
        </is>
      </c>
      <c r="G199" t="inlineStr">
        <is>
          <t>TÖREBODA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45049</v>
      </c>
      <c r="E200" s="1" t="n">
        <v>46284</v>
      </c>
      <c r="F200" t="inlineStr">
        <is>
          <t>VÄSTRA GÖTALANDS LÄN</t>
        </is>
      </c>
      <c r="G200" t="inlineStr">
        <is>
          <t>TÖREBODA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45750</v>
      </c>
      <c r="E201" s="1" t="n">
        <v>46284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59315-2024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46284</v>
      </c>
      <c r="F202" t="inlineStr">
        <is>
          <t>VÄSTRA GÖTALANDS LÄN</t>
        </is>
      </c>
      <c r="G202" t="inlineStr">
        <is>
          <t>TÖREBODA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45191</v>
      </c>
      <c r="E203" s="1" t="n">
        <v>46284</v>
      </c>
      <c r="F203" t="inlineStr">
        <is>
          <t>VÄSTRA GÖTALANDS LÄN</t>
        </is>
      </c>
      <c r="G203" t="inlineStr">
        <is>
          <t>TÖREBODA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45694</v>
      </c>
      <c r="E204" s="1" t="n">
        <v>46284</v>
      </c>
      <c r="F204" t="inlineStr">
        <is>
          <t>VÄSTRA GÖTALANDS LÄN</t>
        </is>
      </c>
      <c r="G204" t="inlineStr">
        <is>
          <t>TÖREBODA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45133</v>
      </c>
      <c r="E205" s="1" t="n">
        <v>46284</v>
      </c>
      <c r="F205" t="inlineStr">
        <is>
          <t>VÄSTRA GÖTALANDS LÄN</t>
        </is>
      </c>
      <c r="G205" t="inlineStr">
        <is>
          <t>TÖREBODA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45056</v>
      </c>
      <c r="E206" s="1" t="n">
        <v>46284</v>
      </c>
      <c r="F206" t="inlineStr">
        <is>
          <t>VÄSTRA GÖTALANDS LÄN</t>
        </is>
      </c>
      <c r="G206" t="inlineStr">
        <is>
          <t>TÖREBODA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46284</v>
      </c>
      <c r="F207" t="inlineStr">
        <is>
          <t>VÄSTRA GÖTALANDS LÄN</t>
        </is>
      </c>
      <c r="G207" t="inlineStr">
        <is>
          <t>TÖREBODA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46284</v>
      </c>
      <c r="F208" t="inlineStr">
        <is>
          <t>VÄSTRA GÖTALANDS LÄN</t>
        </is>
      </c>
      <c r="G208" t="inlineStr">
        <is>
          <t>TÖREBODA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46284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46284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46284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Sveaskog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46284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46284</v>
      </c>
      <c r="F213" t="inlineStr">
        <is>
          <t>VÄSTRA GÖTALANDS LÄN</t>
        </is>
      </c>
      <c r="G213" t="inlineStr">
        <is>
          <t>TÖREBODA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46284</v>
      </c>
      <c r="F214" t="inlineStr">
        <is>
          <t>VÄSTRA GÖTALANDS LÄN</t>
        </is>
      </c>
      <c r="G214" t="inlineStr">
        <is>
          <t>TÖREBODA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44923</v>
      </c>
      <c r="E215" s="1" t="n">
        <v>46284</v>
      </c>
      <c r="F215" t="inlineStr">
        <is>
          <t>VÄSTRA GÖTALANDS LÄN</t>
        </is>
      </c>
      <c r="G215" t="inlineStr">
        <is>
          <t>TÖREBODA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44923</v>
      </c>
      <c r="E216" s="1" t="n">
        <v>46284</v>
      </c>
      <c r="F216" t="inlineStr">
        <is>
          <t>VÄSTRA GÖTALANDS LÄN</t>
        </is>
      </c>
      <c r="G216" t="inlineStr">
        <is>
          <t>TÖREBODA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45556</v>
      </c>
      <c r="E217" s="1" t="n">
        <v>46284</v>
      </c>
      <c r="F217" t="inlineStr">
        <is>
          <t>VÄSTRA GÖTALANDS LÄN</t>
        </is>
      </c>
      <c r="G217" t="inlineStr">
        <is>
          <t>TÖREBODA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44746</v>
      </c>
      <c r="E218" s="1" t="n">
        <v>46284</v>
      </c>
      <c r="F218" t="inlineStr">
        <is>
          <t>VÄSTRA GÖTALANDS LÄN</t>
        </is>
      </c>
      <c r="G218" t="inlineStr">
        <is>
          <t>TÖREBODA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45414</v>
      </c>
      <c r="E219" s="1" t="n">
        <v>46284</v>
      </c>
      <c r="F219" t="inlineStr">
        <is>
          <t>VÄSTRA GÖTALANDS LÄN</t>
        </is>
      </c>
      <c r="G219" t="inlineStr">
        <is>
          <t>TÖREBODA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59440-2022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46284</v>
      </c>
      <c r="F220" t="inlineStr">
        <is>
          <t>VÄSTRA GÖTALANDS LÄN</t>
        </is>
      </c>
      <c r="G220" t="inlineStr">
        <is>
          <t>TÖREBODA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46284</v>
      </c>
      <c r="F221" t="inlineStr">
        <is>
          <t>VÄSTRA GÖTALANDS LÄN</t>
        </is>
      </c>
      <c r="G221" t="inlineStr">
        <is>
          <t>TÖREBODA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46284</v>
      </c>
      <c r="F222" t="inlineStr">
        <is>
          <t>VÄSTRA GÖTALANDS LÄN</t>
        </is>
      </c>
      <c r="G222" t="inlineStr">
        <is>
          <t>TÖREBODA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45127</v>
      </c>
      <c r="E223" s="1" t="n">
        <v>46284</v>
      </c>
      <c r="F223" t="inlineStr">
        <is>
          <t>VÄSTRA GÖTALANDS LÄN</t>
        </is>
      </c>
      <c r="G223" t="inlineStr">
        <is>
          <t>TÖREBODA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44937</v>
      </c>
      <c r="E224" s="1" t="n">
        <v>46284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45763</v>
      </c>
      <c r="E225" s="1" t="n">
        <v>46284</v>
      </c>
      <c r="F225" t="inlineStr">
        <is>
          <t>VÄSTRA GÖTALANDS LÄN</t>
        </is>
      </c>
      <c r="G225" t="inlineStr">
        <is>
          <t>TÖREBODA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46284</v>
      </c>
      <c r="F226" t="inlineStr">
        <is>
          <t>VÄSTRA GÖTALANDS LÄN</t>
        </is>
      </c>
      <c r="G226" t="inlineStr">
        <is>
          <t>TÖREBODA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46284</v>
      </c>
      <c r="F227" t="inlineStr">
        <is>
          <t>VÄSTRA GÖTALANDS LÄN</t>
        </is>
      </c>
      <c r="G227" t="inlineStr">
        <is>
          <t>TÖREBODA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46078</v>
      </c>
      <c r="E228" s="1" t="n">
        <v>46284</v>
      </c>
      <c r="F228" t="inlineStr">
        <is>
          <t>VÄSTRA GÖTALANDS LÄN</t>
        </is>
      </c>
      <c r="G228" t="inlineStr">
        <is>
          <t>TÖREBODA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46284</v>
      </c>
      <c r="F229" t="inlineStr">
        <is>
          <t>VÄSTRA GÖTALANDS LÄN</t>
        </is>
      </c>
      <c r="G229" t="inlineStr">
        <is>
          <t>TÖREBODA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46284</v>
      </c>
      <c r="F230" t="inlineStr">
        <is>
          <t>VÄSTRA GÖTALANDS LÄN</t>
        </is>
      </c>
      <c r="G230" t="inlineStr">
        <is>
          <t>TÖREBODA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46284</v>
      </c>
      <c r="F231" t="inlineStr">
        <is>
          <t>VÄSTRA GÖTALANDS LÄN</t>
        </is>
      </c>
      <c r="G231" t="inlineStr">
        <is>
          <t>TÖREBODA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46284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39660-2024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45552</v>
      </c>
      <c r="E233" s="1" t="n">
        <v>46284</v>
      </c>
      <c r="F233" t="inlineStr">
        <is>
          <t>VÄSTRA GÖTALANDS LÄN</t>
        </is>
      </c>
      <c r="G233" t="inlineStr">
        <is>
          <t>TÖREBODA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46284</v>
      </c>
      <c r="F234" t="inlineStr">
        <is>
          <t>VÄSTRA GÖTALANDS LÄN</t>
        </is>
      </c>
      <c r="G234" t="inlineStr">
        <is>
          <t>TÖREBODA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45425</v>
      </c>
      <c r="E235" s="1" t="n">
        <v>46284</v>
      </c>
      <c r="F235" t="inlineStr">
        <is>
          <t>VÄSTRA GÖTALANDS LÄN</t>
        </is>
      </c>
      <c r="G235" t="inlineStr">
        <is>
          <t>TÖREBODA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15567-2026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46106</v>
      </c>
      <c r="E236" s="1" t="n">
        <v>46284</v>
      </c>
      <c r="F236" t="inlineStr">
        <is>
          <t>VÄSTRA GÖTALANDS LÄN</t>
        </is>
      </c>
      <c r="G236" t="inlineStr">
        <is>
          <t>TÖREBODA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23662-2023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46284</v>
      </c>
      <c r="F237" t="inlineStr">
        <is>
          <t>VÄSTRA GÖTALANDS LÄN</t>
        </is>
      </c>
      <c r="G237" t="inlineStr">
        <is>
          <t>TÖREBODA</t>
        </is>
      </c>
      <c r="H237" t="inlineStr">
        <is>
          <t>Övriga Aktiebolag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16200-2026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46284</v>
      </c>
      <c r="F238" t="inlineStr">
        <is>
          <t>VÄSTRA GÖTALANDS LÄN</t>
        </is>
      </c>
      <c r="G238" t="inlineStr">
        <is>
          <t>TÖREBODA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44903</v>
      </c>
      <c r="E239" s="1" t="n">
        <v>46284</v>
      </c>
      <c r="F239" t="inlineStr">
        <is>
          <t>VÄSTRA GÖTALANDS LÄN</t>
        </is>
      </c>
      <c r="G239" t="inlineStr">
        <is>
          <t>TÖREBODA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46284</v>
      </c>
      <c r="F240" t="inlineStr">
        <is>
          <t>VÄSTRA GÖTALANDS LÄN</t>
        </is>
      </c>
      <c r="G240" t="inlineStr">
        <is>
          <t>TÖREBODA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46284</v>
      </c>
      <c r="F241" t="inlineStr">
        <is>
          <t>VÄSTRA GÖTALANDS LÄN</t>
        </is>
      </c>
      <c r="G241" t="inlineStr">
        <is>
          <t>TÖREBODA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46284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Övriga statliga verk och myndigheter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44782</v>
      </c>
      <c r="E243" s="1" t="n">
        <v>46284</v>
      </c>
      <c r="F243" t="inlineStr">
        <is>
          <t>VÄSTRA GÖTALANDS LÄN</t>
        </is>
      </c>
      <c r="G243" t="inlineStr">
        <is>
          <t>TÖREBODA</t>
        </is>
      </c>
      <c r="H243" t="inlineStr">
        <is>
          <t>Övriga statliga verk och myndigheter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19706-2026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46134</v>
      </c>
      <c r="E244" s="1" t="n">
        <v>46284</v>
      </c>
      <c r="F244" t="inlineStr">
        <is>
          <t>VÄSTRA GÖTALANDS LÄN</t>
        </is>
      </c>
      <c r="G244" t="inlineStr">
        <is>
          <t>TÖREBODA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19685-2026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46284</v>
      </c>
      <c r="F245" t="inlineStr">
        <is>
          <t>VÄSTRA GÖTALANDS LÄN</t>
        </is>
      </c>
      <c r="G245" t="inlineStr">
        <is>
          <t>TÖREBODA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45246</v>
      </c>
      <c r="E246" s="1" t="n">
        <v>46284</v>
      </c>
      <c r="F246" t="inlineStr">
        <is>
          <t>VÄSTRA GÖTALANDS LÄN</t>
        </is>
      </c>
      <c r="G246" t="inlineStr">
        <is>
          <t>TÖREBODA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46284</v>
      </c>
      <c r="F247" t="inlineStr">
        <is>
          <t>VÄSTRA GÖTALANDS LÄN</t>
        </is>
      </c>
      <c r="G247" t="inlineStr">
        <is>
          <t>TÖREBODA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45750</v>
      </c>
      <c r="E248" s="1" t="n">
        <v>46284</v>
      </c>
      <c r="F248" t="inlineStr">
        <is>
          <t>VÄSTRA GÖTALANDS LÄN</t>
        </is>
      </c>
      <c r="G248" t="inlineStr">
        <is>
          <t>TÖREBODA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4194-2024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45324</v>
      </c>
      <c r="E249" s="1" t="n">
        <v>46284</v>
      </c>
      <c r="F249" t="inlineStr">
        <is>
          <t>VÄSTRA GÖTALANDS LÄN</t>
        </is>
      </c>
      <c r="G249" t="inlineStr">
        <is>
          <t>TÖREBODA</t>
        </is>
      </c>
      <c r="I249" t="n">
        <v>28.9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57225-2021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44483</v>
      </c>
      <c r="E250" s="1" t="n">
        <v>46284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30200-2026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46284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46251</v>
      </c>
      <c r="E252" s="1" t="n">
        <v>46284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45531</v>
      </c>
      <c r="E253" s="1" t="n">
        <v>46284</v>
      </c>
      <c r="F253" t="inlineStr">
        <is>
          <t>VÄSTRA GÖTALANDS LÄN</t>
        </is>
      </c>
      <c r="G253" t="inlineStr">
        <is>
          <t>TÖREBODA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45531</v>
      </c>
      <c r="E254" s="1" t="n">
        <v>46284</v>
      </c>
      <c r="F254" t="inlineStr">
        <is>
          <t>VÄSTRA GÖTALANDS LÄN</t>
        </is>
      </c>
      <c r="G254" t="inlineStr">
        <is>
          <t>TÖREBODA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46284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41627-2022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44827</v>
      </c>
      <c r="E256" s="1" t="n">
        <v>46284</v>
      </c>
      <c r="F256" t="inlineStr">
        <is>
          <t>VÄSTRA GÖTALANDS LÄN</t>
        </is>
      </c>
      <c r="G256" t="inlineStr">
        <is>
          <t>TÖREBODA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41632-2022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44827</v>
      </c>
      <c r="E257" s="1" t="n">
        <v>46284</v>
      </c>
      <c r="F257" t="inlineStr">
        <is>
          <t>VÄSTRA GÖTALANDS LÄN</t>
        </is>
      </c>
      <c r="G257" t="inlineStr">
        <is>
          <t>TÖREBODA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46284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46248</v>
      </c>
      <c r="E259" s="1" t="n">
        <v>46284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46248</v>
      </c>
      <c r="E260" s="1" t="n">
        <v>46284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48973-2023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45209</v>
      </c>
      <c r="E261" s="1" t="n">
        <v>46284</v>
      </c>
      <c r="F261" t="inlineStr">
        <is>
          <t>VÄSTRA GÖTALANDS LÄN</t>
        </is>
      </c>
      <c r="G261" t="inlineStr">
        <is>
          <t>TÖREBODA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46284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46284</v>
      </c>
      <c r="F263" t="inlineStr">
        <is>
          <t>VÄSTRA GÖTALANDS LÄN</t>
        </is>
      </c>
      <c r="G263" t="inlineStr">
        <is>
          <t>TÖREBODA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45328</v>
      </c>
      <c r="E264" s="1" t="n">
        <v>46284</v>
      </c>
      <c r="F264" t="inlineStr">
        <is>
          <t>VÄSTRA GÖTALANDS LÄN</t>
        </is>
      </c>
      <c r="G264" t="inlineStr">
        <is>
          <t>TÖREBODA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59438-2022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44907</v>
      </c>
      <c r="E265" s="1" t="n">
        <v>46284</v>
      </c>
      <c r="F265" t="inlineStr">
        <is>
          <t>VÄSTRA GÖTALANDS LÄN</t>
        </is>
      </c>
      <c r="G265" t="inlineStr">
        <is>
          <t>TÖREBODA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46284</v>
      </c>
      <c r="F266" t="inlineStr">
        <is>
          <t>VÄSTRA GÖTALANDS LÄN</t>
        </is>
      </c>
      <c r="G266" t="inlineStr">
        <is>
          <t>TÖREBODA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46284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44951</v>
      </c>
      <c r="E268" s="1" t="n">
        <v>46284</v>
      </c>
      <c r="F268" t="inlineStr">
        <is>
          <t>VÄSTRA GÖTALANDS LÄN</t>
        </is>
      </c>
      <c r="G268" t="inlineStr">
        <is>
          <t>TÖREBODA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46284</v>
      </c>
      <c r="F269" t="inlineStr">
        <is>
          <t>VÄSTRA GÖTALANDS LÄN</t>
        </is>
      </c>
      <c r="G269" t="inlineStr">
        <is>
          <t>TÖREBODA</t>
        </is>
      </c>
      <c r="I269" t="n">
        <v>49.4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46251</v>
      </c>
      <c r="E270" s="1" t="n">
        <v>46284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51889-2024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45607</v>
      </c>
      <c r="E271" s="1" t="n">
        <v>46284</v>
      </c>
      <c r="F271" t="inlineStr">
        <is>
          <t>VÄSTRA GÖTALANDS LÄN</t>
        </is>
      </c>
      <c r="G271" t="inlineStr">
        <is>
          <t>TÖREBODA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45142</v>
      </c>
      <c r="E272" s="1" t="n">
        <v>46284</v>
      </c>
      <c r="F272" t="inlineStr">
        <is>
          <t>VÄSTRA GÖTALANDS LÄN</t>
        </is>
      </c>
      <c r="G272" t="inlineStr">
        <is>
          <t>TÖREBODA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46284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Övriga statliga verk och myndigheter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19874-2022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46284</v>
      </c>
      <c r="F274" t="inlineStr">
        <is>
          <t>VÄSTRA GÖTALANDS LÄN</t>
        </is>
      </c>
      <c r="G274" t="inlineStr">
        <is>
          <t>TÖREBODA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36277-2026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46268</v>
      </c>
      <c r="E275" s="1" t="n">
        <v>46284</v>
      </c>
      <c r="F275" t="inlineStr">
        <is>
          <t>VÄSTRA GÖTALANDS LÄN</t>
        </is>
      </c>
      <c r="G275" t="inlineStr">
        <is>
          <t>TÖREBODA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46284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28196-2022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44746</v>
      </c>
      <c r="E277" s="1" t="n">
        <v>46284</v>
      </c>
      <c r="F277" t="inlineStr">
        <is>
          <t>VÄSTRA GÖTALANDS LÄN</t>
        </is>
      </c>
      <c r="G277" t="inlineStr">
        <is>
          <t>TÖREBODA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46268</v>
      </c>
      <c r="E278" s="1" t="n">
        <v>46284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36387-2026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46268</v>
      </c>
      <c r="E279" s="1" t="n">
        <v>46284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36384-2026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46268</v>
      </c>
      <c r="E280" s="1" t="n">
        <v>46284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46268</v>
      </c>
      <c r="E281" s="1" t="n">
        <v>46284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45777</v>
      </c>
      <c r="E282" s="1" t="n">
        <v>46284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46088-2024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45581</v>
      </c>
      <c r="E283" s="1" t="n">
        <v>46284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46275</v>
      </c>
      <c r="E284" s="1" t="n">
        <v>46284</v>
      </c>
      <c r="F284" t="inlineStr">
        <is>
          <t>VÄSTRA GÖTALANDS LÄN</t>
        </is>
      </c>
      <c r="G284" t="inlineStr">
        <is>
          <t>TÖREBODA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46231</v>
      </c>
      <c r="E285" s="1" t="n">
        <v>46284</v>
      </c>
      <c r="F285" t="inlineStr">
        <is>
          <t>VÄSTRA GÖTALANDS LÄN</t>
        </is>
      </c>
      <c r="G285" t="inlineStr">
        <is>
          <t>TÖREBODA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11730-2025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45727</v>
      </c>
      <c r="E286" s="1" t="n">
        <v>46284</v>
      </c>
      <c r="F286" t="inlineStr">
        <is>
          <t>VÄSTRA GÖTALANDS LÄN</t>
        </is>
      </c>
      <c r="G286" t="inlineStr">
        <is>
          <t>TÖREBODA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46268</v>
      </c>
      <c r="E287" s="1" t="n">
        <v>46284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45713</v>
      </c>
      <c r="E288" s="1" t="n">
        <v>46284</v>
      </c>
      <c r="F288" t="inlineStr">
        <is>
          <t>VÄSTRA GÖTALANDS LÄN</t>
        </is>
      </c>
      <c r="G288" t="inlineStr">
        <is>
          <t>TÖREBODA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45730</v>
      </c>
      <c r="E289" s="1" t="n">
        <v>46284</v>
      </c>
      <c r="F289" t="inlineStr">
        <is>
          <t>VÄSTRA GÖTALANDS LÄN</t>
        </is>
      </c>
      <c r="G289" t="inlineStr">
        <is>
          <t>TÖREBODA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45493</v>
      </c>
      <c r="E290" s="1" t="n">
        <v>46284</v>
      </c>
      <c r="F290" t="inlineStr">
        <is>
          <t>VÄSTRA GÖTALANDS LÄN</t>
        </is>
      </c>
      <c r="G290" t="inlineStr">
        <is>
          <t>TÖREBODA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45394</v>
      </c>
      <c r="E291" s="1" t="n">
        <v>46284</v>
      </c>
      <c r="F291" t="inlineStr">
        <is>
          <t>VÄSTRA GÖTALANDS LÄN</t>
        </is>
      </c>
      <c r="G291" t="inlineStr">
        <is>
          <t>TÖREBODA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45439</v>
      </c>
      <c r="E292" s="1" t="n">
        <v>46284</v>
      </c>
      <c r="F292" t="inlineStr">
        <is>
          <t>VÄSTRA GÖTALANDS LÄN</t>
        </is>
      </c>
      <c r="G292" t="inlineStr">
        <is>
          <t>TÖREBODA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46284</v>
      </c>
      <c r="F293" t="inlineStr">
        <is>
          <t>VÄSTRA GÖTALANDS LÄN</t>
        </is>
      </c>
      <c r="G293" t="inlineStr">
        <is>
          <t>TÖREBODA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45631</v>
      </c>
      <c r="E294" s="1" t="n">
        <v>46284</v>
      </c>
      <c r="F294" t="inlineStr">
        <is>
          <t>VÄSTRA GÖTALANDS LÄN</t>
        </is>
      </c>
      <c r="G294" t="inlineStr">
        <is>
          <t>TÖREBODA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45569</v>
      </c>
      <c r="E295" s="1" t="n">
        <v>46284</v>
      </c>
      <c r="F295" t="inlineStr">
        <is>
          <t>VÄSTRA GÖTALANDS LÄN</t>
        </is>
      </c>
      <c r="G295" t="inlineStr">
        <is>
          <t>TÖREBODA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45763</v>
      </c>
      <c r="E296" s="1" t="n">
        <v>46284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Kyrkan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46284</v>
      </c>
      <c r="F297" t="inlineStr">
        <is>
          <t>VÄSTRA GÖTALANDS LÄN</t>
        </is>
      </c>
      <c r="G297" t="inlineStr">
        <is>
          <t>TÖREBODA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46284</v>
      </c>
      <c r="F298" t="inlineStr">
        <is>
          <t>VÄSTRA GÖTALANDS LÄN</t>
        </is>
      </c>
      <c r="G298" t="inlineStr">
        <is>
          <t>TÖREBODA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46282</v>
      </c>
      <c r="E299" s="1" t="n">
        <v>46284</v>
      </c>
      <c r="F299" t="inlineStr">
        <is>
          <t>VÄSTRA GÖTALANDS LÄN</t>
        </is>
      </c>
      <c r="G299" t="inlineStr">
        <is>
          <t>TÖREBODA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26941-2025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45811</v>
      </c>
      <c r="E300" s="1" t="n">
        <v>46284</v>
      </c>
      <c r="F300" t="inlineStr">
        <is>
          <t>VÄSTRA GÖTALANDS LÄN</t>
        </is>
      </c>
      <c r="G300" t="inlineStr">
        <is>
          <t>TÖREBODA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46284</v>
      </c>
      <c r="F301" t="inlineStr">
        <is>
          <t>VÄSTRA GÖTALANDS LÄN</t>
        </is>
      </c>
      <c r="G301" t="inlineStr">
        <is>
          <t>TÖREBODA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46284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46284</v>
      </c>
      <c r="F303" t="inlineStr">
        <is>
          <t>VÄSTRA GÖTALANDS LÄN</t>
        </is>
      </c>
      <c r="G303" t="inlineStr">
        <is>
          <t>TÖREBODA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30591-2025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46284</v>
      </c>
      <c r="F304" t="inlineStr">
        <is>
          <t>VÄSTRA GÖTALANDS LÄN</t>
        </is>
      </c>
      <c r="G304" t="inlineStr">
        <is>
          <t>TÖREBODA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32308-2025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46284</v>
      </c>
      <c r="F305" t="inlineStr">
        <is>
          <t>VÄSTRA GÖTALANDS LÄN</t>
        </is>
      </c>
      <c r="G305" t="inlineStr">
        <is>
          <t>TÖREBODA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32155-2025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46284</v>
      </c>
      <c r="F306" t="inlineStr">
        <is>
          <t>VÄSTRA GÖTALANDS LÄN</t>
        </is>
      </c>
      <c r="G306" t="inlineStr">
        <is>
          <t>TÖREBODA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46284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46284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statliga verk och myndigheter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45841</v>
      </c>
      <c r="E309" s="1" t="n">
        <v>46284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46284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46284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46284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46284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Övriga statliga verk och myndigheter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46284</v>
      </c>
      <c r="F314" t="inlineStr">
        <is>
          <t>VÄSTRA GÖTALANDS LÄN</t>
        </is>
      </c>
      <c r="G314" t="inlineStr">
        <is>
          <t>TÖREBODA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45720</v>
      </c>
      <c r="E315" s="1" t="n">
        <v>46284</v>
      </c>
      <c r="F315" t="inlineStr">
        <is>
          <t>VÄSTRA GÖTALANDS LÄN</t>
        </is>
      </c>
      <c r="G315" t="inlineStr">
        <is>
          <t>TÖREBODA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45741</v>
      </c>
      <c r="E316" s="1" t="n">
        <v>46284</v>
      </c>
      <c r="F316" t="inlineStr">
        <is>
          <t>VÄSTRA GÖTALANDS LÄN</t>
        </is>
      </c>
      <c r="G316" t="inlineStr">
        <is>
          <t>TÖREBODA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45720</v>
      </c>
      <c r="E317" s="1" t="n">
        <v>46284</v>
      </c>
      <c r="F317" t="inlineStr">
        <is>
          <t>VÄSTRA GÖTALANDS LÄN</t>
        </is>
      </c>
      <c r="G317" t="inlineStr">
        <is>
          <t>TÖREBODA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45685</v>
      </c>
      <c r="E318" s="1" t="n">
        <v>46284</v>
      </c>
      <c r="F318" t="inlineStr">
        <is>
          <t>VÄSTRA GÖTALANDS LÄN</t>
        </is>
      </c>
      <c r="G318" t="inlineStr">
        <is>
          <t>TÖREBODA</t>
        </is>
      </c>
      <c r="I318" t="n">
        <v>186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671-2025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46284</v>
      </c>
      <c r="F319" t="inlineStr">
        <is>
          <t>VÄSTRA GÖTALANDS LÄN</t>
        </is>
      </c>
      <c r="G319" t="inlineStr">
        <is>
          <t>TÖREBODA</t>
        </is>
      </c>
      <c r="I319" t="n">
        <v>56.1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670-2025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46284</v>
      </c>
      <c r="F320" t="inlineStr">
        <is>
          <t>VÄSTRA GÖTALANDS LÄN</t>
        </is>
      </c>
      <c r="G320" t="inlineStr">
        <is>
          <t>TÖREBODA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178-2026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46045</v>
      </c>
      <c r="E321" s="1" t="n">
        <v>46284</v>
      </c>
      <c r="F321" t="inlineStr">
        <is>
          <t>VÄSTRA GÖTALANDS LÄN</t>
        </is>
      </c>
      <c r="G321" t="inlineStr">
        <is>
          <t>TÖREBODA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2026-09-19T02:03:27Z</dcterms:created>
  <dcterms:modified xmlns:dcterms="http://purl.org/dc/terms/" xmlns:xsi="http://www.w3.org/2001/XMLSchema-instance" xsi:type="dcterms:W3CDTF">2026-09-19T02:03:27Z</dcterms:modified>
</cp:coreProperties>
</file>