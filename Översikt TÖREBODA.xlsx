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46273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46273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46273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46273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46273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46273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46273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46273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46273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46273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46273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46273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46273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46273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46273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9985-2023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44985</v>
      </c>
      <c r="E21" s="1" t="n">
        <v>46273</v>
      </c>
      <c r="F21" t="inlineStr">
        <is>
          <t>VÄSTRA GÖTALANDS LÄN</t>
        </is>
      </c>
      <c r="G21" t="inlineStr">
        <is>
          <t>TÖREBODA</t>
        </is>
      </c>
      <c r="I21" t="n">
        <v>5.5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HYPERLINK("https://klasma.github.io/Logging_1473/artfynd/A 9985-2023 artfynd.xlsx", "A 9985-2023")</f>
        <v/>
      </c>
      <c r="X21">
        <f>HYPERLINK("https://klasma.github.io/Logging_1473/kartor/A 9985-2023 karta.png", "A 9985-2023")</f>
        <v/>
      </c>
      <c r="Y21">
        <f>HYPERLINK("https://klasma.github.io/Logging_1473/kartor_geotiff/A 9985-2023 georefererad karta.tif", "A 9985-2023")</f>
        <v/>
      </c>
      <c r="AA21">
        <f>HYPERLINK("https://klasma.github.io/Logging_1473/klagomål/A 9985-2023 FSC-klagomål.docx", "A 9985-2023")</f>
        <v/>
      </c>
      <c r="AB21">
        <f>HYPERLINK("https://klasma.github.io/Logging_1473/klagomålsmail/A 9985-2023 FSC-klagomål mail.docx", "A 9985-2023")</f>
        <v/>
      </c>
      <c r="AC21">
        <f>HYPERLINK("https://klasma.github.io/Logging_1473/tillsyn/A 9985-2023 tillsynsbegäran.docx", "A 9985-2023")</f>
        <v/>
      </c>
      <c r="AD21">
        <f>HYPERLINK("https://klasma.github.io/Logging_1473/tillsynsmail/A 9985-2023 tillsynsbegäran mail.docx", "A 9985-2023")</f>
        <v/>
      </c>
    </row>
    <row r="22" ht="15" customHeight="1">
      <c r="A22" t="inlineStr">
        <is>
          <t>A 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46273</v>
      </c>
      <c r="F22" t="inlineStr">
        <is>
          <t>VÄSTRA GÖTALANDS LÄN</t>
        </is>
      </c>
      <c r="G22" t="inlineStr">
        <is>
          <t>TÖREBODA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Revlummer</t>
        </is>
      </c>
      <c r="W22">
        <f>HYPERLINK("https://klasma.github.io/Logging_1473/artfynd/A 7772-2022 artfynd.xlsx", "A 7772-2022")</f>
        <v/>
      </c>
      <c r="X22">
        <f>HYPERLINK("https://klasma.github.io/Logging_1473/kartor/A 7772-2022 karta.png", "A 7772-2022")</f>
        <v/>
      </c>
      <c r="Y22">
        <f>HYPERLINK("https://klasma.github.io/Logging_1473/kartor_geotiff/A 7772-2022 georefererad karta.tif", "A 7772-2022")</f>
        <v/>
      </c>
      <c r="AA22">
        <f>HYPERLINK("https://klasma.github.io/Logging_1473/klagomål/A 7772-2022 FSC-klagomål.docx", "A 7772-2022")</f>
        <v/>
      </c>
      <c r="AB22">
        <f>HYPERLINK("https://klasma.github.io/Logging_1473/klagomålsmail/A 7772-2022 FSC-klagomål mail.docx", "A 7772-2022")</f>
        <v/>
      </c>
      <c r="AC22">
        <f>HYPERLINK("https://klasma.github.io/Logging_1473/tillsyn/A 7772-2022 tillsynsbegäran.docx", "A 7772-2022")</f>
        <v/>
      </c>
      <c r="AD22">
        <f>HYPERLINK("https://klasma.github.io/Logging_1473/tillsynsmail/A 7772-2022 tillsynsbegäran mail.docx", "A 7772-2022")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46273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46273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46273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46273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39894-2023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46273</v>
      </c>
      <c r="F27" t="inlineStr">
        <is>
          <t>VÄSTRA GÖTALANDS LÄN</t>
        </is>
      </c>
      <c r="G27" t="inlineStr">
        <is>
          <t>TÖREBODA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Nattskärra</t>
        </is>
      </c>
      <c r="W27">
        <f>HYPERLINK("https://klasma.github.io/Logging_1473/artfynd/A 39894-2023 artfynd.xlsx", "A 39894-2023")</f>
        <v/>
      </c>
      <c r="X27">
        <f>HYPERLINK("https://klasma.github.io/Logging_1473/kartor/A 39894-2023 karta.png", "A 39894-2023")</f>
        <v/>
      </c>
      <c r="Y27">
        <f>HYPERLINK("https://klasma.github.io/Logging_1473/kartor_geotiff/A 39894-2023 georefererad karta.tif", "A 39894-2023")</f>
        <v/>
      </c>
      <c r="AA27">
        <f>HYPERLINK("https://klasma.github.io/Logging_1473/klagomål/A 39894-2023 FSC-klagomål.docx", "A 39894-2023")</f>
        <v/>
      </c>
      <c r="AB27">
        <f>HYPERLINK("https://klasma.github.io/Logging_1473/klagomålsmail/A 39894-2023 FSC-klagomål mail.docx", "A 39894-2023")</f>
        <v/>
      </c>
      <c r="AC27">
        <f>HYPERLINK("https://klasma.github.io/Logging_1473/tillsyn/A 39894-2023 tillsynsbegäran.docx", "A 39894-2023")</f>
        <v/>
      </c>
      <c r="AD27">
        <f>HYPERLINK("https://klasma.github.io/Logging_1473/tillsynsmail/A 39894-2023 tillsynsbegäran mail.docx", "A 39894-2023")</f>
        <v/>
      </c>
      <c r="AE27">
        <f>HYPERLINK("https://klasma.github.io/Logging_1473/fåglar/A 39894-2023 prioriterade fågelarter.docx", "A 39894-2023")</f>
        <v/>
      </c>
    </row>
    <row r="28" ht="15" customHeight="1">
      <c r="A28" t="inlineStr">
        <is>
          <t>A 30816-2026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46212</v>
      </c>
      <c r="E28" s="1" t="n">
        <v>46273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Kyrkan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HYPERLINK("https://klasma.github.io/Logging_1473/artfynd/A 30816-2026 artfynd.xlsx", "A 30816-2026")</f>
        <v/>
      </c>
      <c r="X28">
        <f>HYPERLINK("https://klasma.github.io/Logging_1473/kartor/A 30816-2026 karta.png", "A 30816-2026")</f>
        <v/>
      </c>
      <c r="Y28">
        <f>HYPERLINK("https://klasma.github.io/Logging_1473/kartor_geotiff/A 30816-2026 georefererad karta.tif", "A 30816-2026")</f>
        <v/>
      </c>
      <c r="AA28">
        <f>HYPERLINK("https://klasma.github.io/Logging_1473/klagomål/A 30816-2026 FSC-klagomål.docx", "A 30816-2026")</f>
        <v/>
      </c>
      <c r="AB28">
        <f>HYPERLINK("https://klasma.github.io/Logging_1473/klagomålsmail/A 30816-2026 FSC-klagomål mail.docx", "A 30816-2026")</f>
        <v/>
      </c>
      <c r="AC28">
        <f>HYPERLINK("https://klasma.github.io/Logging_1473/tillsyn/A 30816-2026 tillsynsbegäran.docx", "A 30816-2026")</f>
        <v/>
      </c>
      <c r="AD28">
        <f>HYPERLINK("https://klasma.github.io/Logging_1473/tillsynsmail/A 30816-2026 tillsynsbegäran mail.docx", "A 30816-2026")</f>
        <v/>
      </c>
      <c r="AE28">
        <f>HYPERLINK("https://klasma.github.io/Logging_1473/fåglar/A 30816-2026 prioriterade fågelarter.docx", "A 30816-2026")</f>
        <v/>
      </c>
    </row>
    <row r="29" ht="15" customHeight="1">
      <c r="A29" t="inlineStr">
        <is>
          <t>A 12168-2025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46273</v>
      </c>
      <c r="F29" t="inlineStr">
        <is>
          <t>VÄSTRA GÖTALANDS LÄN</t>
        </is>
      </c>
      <c r="G29" t="inlineStr">
        <is>
          <t>TÖREBODA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HYPERLINK("https://klasma.github.io/Logging_1473/artfynd/A 12168-2025 artfynd.xlsx", "A 12168-2025")</f>
        <v/>
      </c>
      <c r="X29">
        <f>HYPERLINK("https://klasma.github.io/Logging_1473/kartor/A 12168-2025 karta.png", "A 12168-2025")</f>
        <v/>
      </c>
      <c r="Y29">
        <f>HYPERLINK("https://klasma.github.io/Logging_1473/kartor_geotiff/A 12168-2025 georefererad karta.tif", "A 12168-2025")</f>
        <v/>
      </c>
      <c r="AA29">
        <f>HYPERLINK("https://klasma.github.io/Logging_1473/klagomål/A 12168-2025 FSC-klagomål.docx", "A 12168-2025")</f>
        <v/>
      </c>
      <c r="AB29">
        <f>HYPERLINK("https://klasma.github.io/Logging_1473/klagomålsmail/A 12168-2025 FSC-klagomål mail.docx", "A 12168-2025")</f>
        <v/>
      </c>
      <c r="AC29">
        <f>HYPERLINK("https://klasma.github.io/Logging_1473/tillsyn/A 12168-2025 tillsynsbegäran.docx", "A 12168-2025")</f>
        <v/>
      </c>
      <c r="AD29">
        <f>HYPERLINK("https://klasma.github.io/Logging_1473/tillsynsmail/A 12168-2025 tillsynsbegäran mail.docx", "A 12168-2025")</f>
        <v/>
      </c>
      <c r="AE29">
        <f>HYPERLINK("https://klasma.github.io/Logging_1473/fåglar/A 12168-2025 prioriterade fågelarter.docx", "A 12168-2025")</f>
        <v/>
      </c>
    </row>
    <row r="30" ht="15" customHeight="1">
      <c r="A30" t="inlineStr">
        <is>
          <t>A 17540-2025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46273</v>
      </c>
      <c r="F30" t="inlineStr">
        <is>
          <t>VÄSTRA GÖTALANDS LÄN</t>
        </is>
      </c>
      <c r="G30" t="inlineStr">
        <is>
          <t>TÖREBODA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Vattenfladdermus</t>
        </is>
      </c>
      <c r="W30">
        <f>HYPERLINK("https://klasma.github.io/Logging_1473/artfynd/A 17540-2025 artfynd.xlsx", "A 17540-2025")</f>
        <v/>
      </c>
      <c r="X30">
        <f>HYPERLINK("https://klasma.github.io/Logging_1473/kartor/A 17540-2025 karta.png", "A 17540-2025")</f>
        <v/>
      </c>
      <c r="Y30">
        <f>HYPERLINK("https://klasma.github.io/Logging_1473/kartor_geotiff/A 17540-2025 georefererad karta.tif", "A 17540-2025")</f>
        <v/>
      </c>
      <c r="AA30">
        <f>HYPERLINK("https://klasma.github.io/Logging_1473/klagomål/A 17540-2025 FSC-klagomål.docx", "A 17540-2025")</f>
        <v/>
      </c>
      <c r="AB30">
        <f>HYPERLINK("https://klasma.github.io/Logging_1473/klagomålsmail/A 17540-2025 FSC-klagomål mail.docx", "A 17540-2025")</f>
        <v/>
      </c>
      <c r="AC30">
        <f>HYPERLINK("https://klasma.github.io/Logging_1473/tillsyn/A 17540-2025 tillsynsbegäran.docx", "A 17540-2025")</f>
        <v/>
      </c>
      <c r="AD30">
        <f>HYPERLINK("https://klasma.github.io/Logging_1473/tillsynsmail/A 17540-2025 tillsynsbegäran mail.docx", "A 17540-2025")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46273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46273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46273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46273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46273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46273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46273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46273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46273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46273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46273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46273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46273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46273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46273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46273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46273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46273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46273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46273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46273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46273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46273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46273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46273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46273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46273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46273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46273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46273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46273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46273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46273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46273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46273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46273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46273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46273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46273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46273</v>
      </c>
      <c r="F79" t="inlineStr">
        <is>
          <t>VÄSTRA GÖTALANDS LÄN</t>
        </is>
      </c>
      <c r="G79" t="inlineStr">
        <is>
          <t>TÖREBODA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46273</v>
      </c>
      <c r="F80" t="inlineStr">
        <is>
          <t>VÄSTRA GÖTALANDS LÄN</t>
        </is>
      </c>
      <c r="G80" t="inlineStr">
        <is>
          <t>TÖREBODA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46273</v>
      </c>
      <c r="F81" t="inlineStr">
        <is>
          <t>VÄSTRA GÖTALANDS LÄN</t>
        </is>
      </c>
      <c r="G81" t="inlineStr">
        <is>
          <t>TÖREBODA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46273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46273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46273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46273</v>
      </c>
      <c r="F85" t="inlineStr">
        <is>
          <t>VÄSTRA GÖTALANDS LÄN</t>
        </is>
      </c>
      <c r="G85" t="inlineStr">
        <is>
          <t>TÖREBODA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46273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45127</v>
      </c>
      <c r="E87" s="1" t="n">
        <v>46273</v>
      </c>
      <c r="F87" t="inlineStr">
        <is>
          <t>VÄSTRA GÖTALANDS LÄN</t>
        </is>
      </c>
      <c r="G87" t="inlineStr">
        <is>
          <t>TÖREBODA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45531</v>
      </c>
      <c r="E88" s="1" t="n">
        <v>46273</v>
      </c>
      <c r="F88" t="inlineStr">
        <is>
          <t>VÄSTRA GÖTALANDS LÄN</t>
        </is>
      </c>
      <c r="G88" t="inlineStr">
        <is>
          <t>TÖREBODA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46273</v>
      </c>
      <c r="F89" t="inlineStr">
        <is>
          <t>VÄSTRA GÖTALANDS LÄN</t>
        </is>
      </c>
      <c r="G89" t="inlineStr">
        <is>
          <t>TÖREBODA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46273</v>
      </c>
      <c r="F90" t="inlineStr">
        <is>
          <t>VÄSTRA GÖTALANDS LÄN</t>
        </is>
      </c>
      <c r="G90" t="inlineStr">
        <is>
          <t>TÖREBODA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46273</v>
      </c>
      <c r="F91" t="inlineStr">
        <is>
          <t>VÄSTRA GÖTALANDS LÄN</t>
        </is>
      </c>
      <c r="G91" t="inlineStr">
        <is>
          <t>TÖREBODA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46273</v>
      </c>
      <c r="F92" t="inlineStr">
        <is>
          <t>VÄSTRA GÖTALANDS LÄN</t>
        </is>
      </c>
      <c r="G92" t="inlineStr">
        <is>
          <t>TÖREBODA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46273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46273</v>
      </c>
      <c r="F94" t="inlineStr">
        <is>
          <t>VÄSTRA GÖTALANDS LÄN</t>
        </is>
      </c>
      <c r="G94" t="inlineStr">
        <is>
          <t>TÖREBODA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46273</v>
      </c>
      <c r="F95" t="inlineStr">
        <is>
          <t>VÄSTRA GÖTALANDS LÄN</t>
        </is>
      </c>
      <c r="G95" t="inlineStr">
        <is>
          <t>TÖREBODA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45579</v>
      </c>
      <c r="E96" s="1" t="n">
        <v>46273</v>
      </c>
      <c r="F96" t="inlineStr">
        <is>
          <t>VÄSTRA GÖTALANDS LÄN</t>
        </is>
      </c>
      <c r="G96" t="inlineStr">
        <is>
          <t>TÖREBODA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46273</v>
      </c>
      <c r="F97" t="inlineStr">
        <is>
          <t>VÄSTRA GÖTALANDS LÄN</t>
        </is>
      </c>
      <c r="G97" t="inlineStr">
        <is>
          <t>TÖREBODA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46273</v>
      </c>
      <c r="F98" t="inlineStr">
        <is>
          <t>VÄSTRA GÖTALANDS LÄN</t>
        </is>
      </c>
      <c r="G98" t="inlineStr">
        <is>
          <t>TÖREBODA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46273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45077</v>
      </c>
      <c r="E100" s="1" t="n">
        <v>46273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Övriga Aktiebolag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44483</v>
      </c>
      <c r="E101" s="1" t="n">
        <v>46273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46273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46273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46273</v>
      </c>
      <c r="F104" t="inlineStr">
        <is>
          <t>VÄSTRA GÖTALANDS LÄN</t>
        </is>
      </c>
      <c r="G104" t="inlineStr">
        <is>
          <t>TÖREBODA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46273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45885</v>
      </c>
      <c r="E106" s="1" t="n">
        <v>46273</v>
      </c>
      <c r="F106" t="inlineStr">
        <is>
          <t>VÄSTRA GÖTALANDS LÄN</t>
        </is>
      </c>
      <c r="G106" t="inlineStr">
        <is>
          <t>TÖREBODA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46273</v>
      </c>
      <c r="F107" t="inlineStr">
        <is>
          <t>VÄSTRA GÖTALANDS LÄN</t>
        </is>
      </c>
      <c r="G107" t="inlineStr">
        <is>
          <t>TÖREBODA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44987</v>
      </c>
      <c r="E108" s="1" t="n">
        <v>46273</v>
      </c>
      <c r="F108" t="inlineStr">
        <is>
          <t>VÄSTRA GÖTALANDS LÄN</t>
        </is>
      </c>
      <c r="G108" t="inlineStr">
        <is>
          <t>TÖREBODA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46273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Sveaskog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46273</v>
      </c>
      <c r="F110" t="inlineStr">
        <is>
          <t>VÄSTRA GÖTALANDS LÄN</t>
        </is>
      </c>
      <c r="G110" t="inlineStr">
        <is>
          <t>TÖREBODA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45664</v>
      </c>
      <c r="E111" s="1" t="n">
        <v>46273</v>
      </c>
      <c r="F111" t="inlineStr">
        <is>
          <t>VÄSTRA GÖTALANDS LÄN</t>
        </is>
      </c>
      <c r="G111" t="inlineStr">
        <is>
          <t>TÖREBODA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46273</v>
      </c>
      <c r="F112" t="inlineStr">
        <is>
          <t>VÄSTRA GÖTALANDS LÄN</t>
        </is>
      </c>
      <c r="G112" t="inlineStr">
        <is>
          <t>TÖREBODA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44571</v>
      </c>
      <c r="E113" s="1" t="n">
        <v>46273</v>
      </c>
      <c r="F113" t="inlineStr">
        <is>
          <t>VÄSTRA GÖTALANDS LÄN</t>
        </is>
      </c>
      <c r="G113" t="inlineStr">
        <is>
          <t>TÖREBODA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6442-2025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45699</v>
      </c>
      <c r="E114" s="1" t="n">
        <v>46273</v>
      </c>
      <c r="F114" t="inlineStr">
        <is>
          <t>VÄSTRA GÖTALANDS LÄN</t>
        </is>
      </c>
      <c r="G114" t="inlineStr">
        <is>
          <t>TÖREBODA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32463-2022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44782</v>
      </c>
      <c r="E115" s="1" t="n">
        <v>46273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46273</v>
      </c>
      <c r="F116" t="inlineStr">
        <is>
          <t>VÄSTRA GÖTALANDS LÄN</t>
        </is>
      </c>
      <c r="G116" t="inlineStr">
        <is>
          <t>TÖREBODA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46273</v>
      </c>
      <c r="F117" t="inlineStr">
        <is>
          <t>VÄSTRA GÖTALANDS LÄN</t>
        </is>
      </c>
      <c r="G117" t="inlineStr">
        <is>
          <t>TÖREBODA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46273</v>
      </c>
      <c r="F118" t="inlineStr">
        <is>
          <t>VÄSTRA GÖTALANDS LÄN</t>
        </is>
      </c>
      <c r="G118" t="inlineStr">
        <is>
          <t>TÖREBODA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46273</v>
      </c>
      <c r="F119" t="inlineStr">
        <is>
          <t>VÄSTRA GÖTALANDS LÄN</t>
        </is>
      </c>
      <c r="G119" t="inlineStr">
        <is>
          <t>TÖREBODA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46273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44074-2025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46273</v>
      </c>
      <c r="F121" t="inlineStr">
        <is>
          <t>VÄSTRA GÖTALANDS LÄN</t>
        </is>
      </c>
      <c r="G121" t="inlineStr">
        <is>
          <t>TÖREBODA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46273</v>
      </c>
      <c r="F122" t="inlineStr">
        <is>
          <t>VÄSTRA GÖTALANDS LÄN</t>
        </is>
      </c>
      <c r="G122" t="inlineStr">
        <is>
          <t>TÖREBODA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46273</v>
      </c>
      <c r="F123" t="inlineStr">
        <is>
          <t>VÄSTRA GÖTALANDS LÄN</t>
        </is>
      </c>
      <c r="G123" t="inlineStr">
        <is>
          <t>TÖREBODA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46273</v>
      </c>
      <c r="F124" t="inlineStr">
        <is>
          <t>VÄSTRA GÖTALANDS LÄN</t>
        </is>
      </c>
      <c r="G124" t="inlineStr">
        <is>
          <t>TÖREBODA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46273</v>
      </c>
      <c r="F125" t="inlineStr">
        <is>
          <t>VÄSTRA GÖTALANDS LÄN</t>
        </is>
      </c>
      <c r="G125" t="inlineStr">
        <is>
          <t>TÖREBODA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46273</v>
      </c>
      <c r="F126" t="inlineStr">
        <is>
          <t>VÄSTRA GÖTALANDS LÄN</t>
        </is>
      </c>
      <c r="G126" t="inlineStr">
        <is>
          <t>TÖREBODA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21187-2026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46273</v>
      </c>
      <c r="F127" t="inlineStr">
        <is>
          <t>VÄSTRA GÖTALANDS LÄN</t>
        </is>
      </c>
      <c r="G127" t="inlineStr">
        <is>
          <t>TÖREBODA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21966-2026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46152</v>
      </c>
      <c r="E128" s="1" t="n">
        <v>46273</v>
      </c>
      <c r="F128" t="inlineStr">
        <is>
          <t>VÄSTRA GÖTALANDS LÄN</t>
        </is>
      </c>
      <c r="G128" t="inlineStr">
        <is>
          <t>TÖREBODA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46152</v>
      </c>
      <c r="E129" s="1" t="n">
        <v>46273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46152</v>
      </c>
      <c r="E130" s="1" t="n">
        <v>46273</v>
      </c>
      <c r="F130" t="inlineStr">
        <is>
          <t>VÄSTRA GÖTALANDS LÄN</t>
        </is>
      </c>
      <c r="G130" t="inlineStr">
        <is>
          <t>TÖREBODA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45049</v>
      </c>
      <c r="E131" s="1" t="n">
        <v>46273</v>
      </c>
      <c r="F131" t="inlineStr">
        <is>
          <t>VÄSTRA GÖTALANDS LÄN</t>
        </is>
      </c>
      <c r="G131" t="inlineStr">
        <is>
          <t>TÖREBODA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46152</v>
      </c>
      <c r="E132" s="1" t="n">
        <v>46273</v>
      </c>
      <c r="F132" t="inlineStr">
        <is>
          <t>VÄSTRA GÖTALANDS LÄN</t>
        </is>
      </c>
      <c r="G132" t="inlineStr">
        <is>
          <t>TÖREBODA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46273</v>
      </c>
      <c r="F133" t="inlineStr">
        <is>
          <t>VÄSTRA GÖTALANDS LÄN</t>
        </is>
      </c>
      <c r="G133" t="inlineStr">
        <is>
          <t>TÖREBODA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46152</v>
      </c>
      <c r="E134" s="1" t="n">
        <v>46273</v>
      </c>
      <c r="F134" t="inlineStr">
        <is>
          <t>VÄSTRA GÖTALANDS LÄN</t>
        </is>
      </c>
      <c r="G134" t="inlineStr">
        <is>
          <t>TÖREBODA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46273</v>
      </c>
      <c r="F135" t="inlineStr">
        <is>
          <t>VÄSTRA GÖTALANDS LÄN</t>
        </is>
      </c>
      <c r="G135" t="inlineStr">
        <is>
          <t>TÖREBODA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46273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46273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46152</v>
      </c>
      <c r="E138" s="1" t="n">
        <v>46273</v>
      </c>
      <c r="F138" t="inlineStr">
        <is>
          <t>VÄSTRA GÖTALANDS LÄN</t>
        </is>
      </c>
      <c r="G138" t="inlineStr">
        <is>
          <t>TÖREBODA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46152</v>
      </c>
      <c r="E139" s="1" t="n">
        <v>46273</v>
      </c>
      <c r="F139" t="inlineStr">
        <is>
          <t>VÄSTRA GÖTALANDS LÄN</t>
        </is>
      </c>
      <c r="G139" t="inlineStr">
        <is>
          <t>TÖREBODA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46152</v>
      </c>
      <c r="E140" s="1" t="n">
        <v>46273</v>
      </c>
      <c r="F140" t="inlineStr">
        <is>
          <t>VÄSTRA GÖTALANDS LÄN</t>
        </is>
      </c>
      <c r="G140" t="inlineStr">
        <is>
          <t>TÖREBODA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45425</v>
      </c>
      <c r="E141" s="1" t="n">
        <v>46273</v>
      </c>
      <c r="F141" t="inlineStr">
        <is>
          <t>VÄSTRA GÖTALANDS LÄN</t>
        </is>
      </c>
      <c r="G141" t="inlineStr">
        <is>
          <t>TÖREBODA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46273</v>
      </c>
      <c r="F142" t="inlineStr">
        <is>
          <t>VÄSTRA GÖTALANDS LÄN</t>
        </is>
      </c>
      <c r="G142" t="inlineStr">
        <is>
          <t>TÖREBODA</t>
        </is>
      </c>
      <c r="I142" t="n">
        <v>49.4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46273</v>
      </c>
      <c r="F143" t="inlineStr">
        <is>
          <t>VÄSTRA GÖTALANDS LÄN</t>
        </is>
      </c>
      <c r="G143" t="inlineStr">
        <is>
          <t>TÖREBODA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45754</v>
      </c>
      <c r="E144" s="1" t="n">
        <v>46273</v>
      </c>
      <c r="F144" t="inlineStr">
        <is>
          <t>VÄSTRA GÖTALANDS LÄN</t>
        </is>
      </c>
      <c r="G144" t="inlineStr">
        <is>
          <t>TÖREBODA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46273</v>
      </c>
      <c r="F145" t="inlineStr">
        <is>
          <t>VÄSTRA GÖTALANDS LÄN</t>
        </is>
      </c>
      <c r="G145" t="inlineStr">
        <is>
          <t>TÖREBODA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46273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46273</v>
      </c>
      <c r="F147" t="inlineStr">
        <is>
          <t>VÄSTRA GÖTALANDS LÄN</t>
        </is>
      </c>
      <c r="G147" t="inlineStr">
        <is>
          <t>TÖREBODA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44890</v>
      </c>
      <c r="E148" s="1" t="n">
        <v>46273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46273</v>
      </c>
      <c r="F149" t="inlineStr">
        <is>
          <t>VÄSTRA GÖTALANDS LÄN</t>
        </is>
      </c>
      <c r="G149" t="inlineStr">
        <is>
          <t>TÖREBODA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46273</v>
      </c>
      <c r="F150" t="inlineStr">
        <is>
          <t>VÄSTRA GÖTALANDS LÄN</t>
        </is>
      </c>
      <c r="G150" t="inlineStr">
        <is>
          <t>TÖREBODA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46273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46273</v>
      </c>
      <c r="F152" t="inlineStr">
        <is>
          <t>VÄSTRA GÖTALANDS LÄN</t>
        </is>
      </c>
      <c r="G152" t="inlineStr">
        <is>
          <t>TÖREBODA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46273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46273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46273</v>
      </c>
      <c r="F155" t="inlineStr">
        <is>
          <t>VÄSTRA GÖTALANDS LÄN</t>
        </is>
      </c>
      <c r="G155" t="inlineStr">
        <is>
          <t>TÖREBODA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46273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45961</v>
      </c>
      <c r="E157" s="1" t="n">
        <v>46273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46273</v>
      </c>
      <c r="F158" t="inlineStr">
        <is>
          <t>VÄSTRA GÖTALANDS LÄN</t>
        </is>
      </c>
      <c r="G158" t="inlineStr">
        <is>
          <t>TÖREBODA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46273</v>
      </c>
      <c r="F159" t="inlineStr">
        <is>
          <t>VÄSTRA GÖTALANDS LÄN</t>
        </is>
      </c>
      <c r="G159" t="inlineStr">
        <is>
          <t>TÖREBODA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46273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55593-2025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45971</v>
      </c>
      <c r="E161" s="1" t="n">
        <v>46273</v>
      </c>
      <c r="F161" t="inlineStr">
        <is>
          <t>VÄSTRA GÖTALANDS LÄN</t>
        </is>
      </c>
      <c r="G161" t="inlineStr">
        <is>
          <t>TÖREBODA</t>
        </is>
      </c>
      <c r="I161" t="n">
        <v>20.8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46273</v>
      </c>
      <c r="F162" t="inlineStr">
        <is>
          <t>VÄSTRA GÖTALANDS LÄN</t>
        </is>
      </c>
      <c r="G162" t="inlineStr">
        <is>
          <t>TÖREBODA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46273</v>
      </c>
      <c r="F163" t="inlineStr">
        <is>
          <t>VÄSTRA GÖTALANDS LÄN</t>
        </is>
      </c>
      <c r="G163" t="inlineStr">
        <is>
          <t>TÖREBODA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46273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55766-2025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45972</v>
      </c>
      <c r="E165" s="1" t="n">
        <v>46273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46273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45142</v>
      </c>
      <c r="E167" s="1" t="n">
        <v>46273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46273</v>
      </c>
      <c r="F168" t="inlineStr">
        <is>
          <t>VÄSTRA GÖTALANDS LÄN</t>
        </is>
      </c>
      <c r="G168" t="inlineStr">
        <is>
          <t>TÖREBODA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46273</v>
      </c>
      <c r="F169" t="inlineStr">
        <is>
          <t>VÄSTRA GÖTALANDS LÄN</t>
        </is>
      </c>
      <c r="G169" t="inlineStr">
        <is>
          <t>TÖREBODA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45133</v>
      </c>
      <c r="E170" s="1" t="n">
        <v>46273</v>
      </c>
      <c r="F170" t="inlineStr">
        <is>
          <t>VÄSTRA GÖTALANDS LÄN</t>
        </is>
      </c>
      <c r="G170" t="inlineStr">
        <is>
          <t>TÖREBODA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46273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Övriga statliga verk och myndigheter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46273</v>
      </c>
      <c r="F172" t="inlineStr">
        <is>
          <t>VÄSTRA GÖTALANDS LÄN</t>
        </is>
      </c>
      <c r="G172" t="inlineStr">
        <is>
          <t>TÖREBODA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46273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46273</v>
      </c>
      <c r="F174" t="inlineStr">
        <is>
          <t>VÄSTRA GÖTALANDS LÄN</t>
        </is>
      </c>
      <c r="G174" t="inlineStr">
        <is>
          <t>TÖREBODA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45556</v>
      </c>
      <c r="E175" s="1" t="n">
        <v>46273</v>
      </c>
      <c r="F175" t="inlineStr">
        <is>
          <t>VÄSTRA GÖTALANDS LÄN</t>
        </is>
      </c>
      <c r="G175" t="inlineStr">
        <is>
          <t>TÖREBODA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46273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46273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46231</v>
      </c>
      <c r="E178" s="1" t="n">
        <v>46273</v>
      </c>
      <c r="F178" t="inlineStr">
        <is>
          <t>VÄSTRA GÖTALANDS LÄN</t>
        </is>
      </c>
      <c r="G178" t="inlineStr">
        <is>
          <t>TÖREBODA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45457</v>
      </c>
      <c r="E179" s="1" t="n">
        <v>46273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Övriga statliga verk och myndigheter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46273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45627</v>
      </c>
      <c r="E181" s="1" t="n">
        <v>46273</v>
      </c>
      <c r="F181" t="inlineStr">
        <is>
          <t>VÄSTRA GÖTALANDS LÄN</t>
        </is>
      </c>
      <c r="G181" t="inlineStr">
        <is>
          <t>TÖREBODA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46273</v>
      </c>
      <c r="F182" t="inlineStr">
        <is>
          <t>VÄSTRA GÖTALANDS LÄN</t>
        </is>
      </c>
      <c r="G182" t="inlineStr">
        <is>
          <t>TÖREBODA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45555</v>
      </c>
      <c r="E183" s="1" t="n">
        <v>46273</v>
      </c>
      <c r="F183" t="inlineStr">
        <is>
          <t>VÄSTRA GÖTALANDS LÄN</t>
        </is>
      </c>
      <c r="G183" t="inlineStr">
        <is>
          <t>TÖREBODA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45268</v>
      </c>
      <c r="E184" s="1" t="n">
        <v>46273</v>
      </c>
      <c r="F184" t="inlineStr">
        <is>
          <t>VÄSTRA GÖTALANDS LÄN</t>
        </is>
      </c>
      <c r="G184" t="inlineStr">
        <is>
          <t>TÖREBODA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44664</v>
      </c>
      <c r="E185" s="1" t="n">
        <v>46273</v>
      </c>
      <c r="F185" t="inlineStr">
        <is>
          <t>VÄSTRA GÖTALANDS LÄN</t>
        </is>
      </c>
      <c r="G185" t="inlineStr">
        <is>
          <t>TÖREBODA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46273</v>
      </c>
      <c r="F186" t="inlineStr">
        <is>
          <t>VÄSTRA GÖTALANDS LÄN</t>
        </is>
      </c>
      <c r="G186" t="inlineStr">
        <is>
          <t>TÖREBODA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45328</v>
      </c>
      <c r="E187" s="1" t="n">
        <v>46273</v>
      </c>
      <c r="F187" t="inlineStr">
        <is>
          <t>VÄSTRA GÖTALANDS LÄN</t>
        </is>
      </c>
      <c r="G187" t="inlineStr">
        <is>
          <t>TÖREBODA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46273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51889-2024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45607</v>
      </c>
      <c r="E189" s="1" t="n">
        <v>46273</v>
      </c>
      <c r="F189" t="inlineStr">
        <is>
          <t>VÄSTRA GÖTALANDS LÄN</t>
        </is>
      </c>
      <c r="G189" t="inlineStr">
        <is>
          <t>TÖREBODA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46273</v>
      </c>
      <c r="F190" t="inlineStr">
        <is>
          <t>VÄSTRA GÖTALANDS LÄN</t>
        </is>
      </c>
      <c r="G190" t="inlineStr">
        <is>
          <t>TÖREBODA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46273</v>
      </c>
      <c r="F191" t="inlineStr">
        <is>
          <t>VÄSTRA GÖTALANDS LÄN</t>
        </is>
      </c>
      <c r="G191" t="inlineStr">
        <is>
          <t>TÖREBODA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46273</v>
      </c>
      <c r="F192" t="inlineStr">
        <is>
          <t>VÄSTRA GÖTALANDS LÄN</t>
        </is>
      </c>
      <c r="G192" t="inlineStr">
        <is>
          <t>TÖREBODA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46273</v>
      </c>
      <c r="F193" t="inlineStr">
        <is>
          <t>VÄSTRA GÖTALANDS LÄN</t>
        </is>
      </c>
      <c r="G193" t="inlineStr">
        <is>
          <t>TÖREBODA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46273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46273</v>
      </c>
      <c r="F195" t="inlineStr">
        <is>
          <t>VÄSTRA GÖTALANDS LÄN</t>
        </is>
      </c>
      <c r="G195" t="inlineStr">
        <is>
          <t>TÖREBODA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46273</v>
      </c>
      <c r="F196" t="inlineStr">
        <is>
          <t>VÄSTRA GÖTALANDS LÄN</t>
        </is>
      </c>
      <c r="G196" t="inlineStr">
        <is>
          <t>TÖREBODA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46273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46273</v>
      </c>
      <c r="F198" t="inlineStr">
        <is>
          <t>VÄSTRA GÖTALANDS LÄN</t>
        </is>
      </c>
      <c r="G198" t="inlineStr">
        <is>
          <t>TÖREBODA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46248</v>
      </c>
      <c r="E199" s="1" t="n">
        <v>46273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Sveaskog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46248</v>
      </c>
      <c r="E200" s="1" t="n">
        <v>46273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Sveaskog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46273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46273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46273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Sveaskog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46078</v>
      </c>
      <c r="E204" s="1" t="n">
        <v>46273</v>
      </c>
      <c r="F204" t="inlineStr">
        <is>
          <t>VÄSTRA GÖTALANDS LÄN</t>
        </is>
      </c>
      <c r="G204" t="inlineStr">
        <is>
          <t>TÖREBODA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44749</v>
      </c>
      <c r="E205" s="1" t="n">
        <v>46273</v>
      </c>
      <c r="F205" t="inlineStr">
        <is>
          <t>VÄSTRA GÖTALANDS LÄN</t>
        </is>
      </c>
      <c r="G205" t="inlineStr">
        <is>
          <t>TÖREBODA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46273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46273</v>
      </c>
      <c r="F207" t="inlineStr">
        <is>
          <t>VÄSTRA GÖTALANDS LÄN</t>
        </is>
      </c>
      <c r="G207" t="inlineStr">
        <is>
          <t>TÖREBODA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46273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Sveaskog</t>
        </is>
      </c>
      <c r="I208" t="n">
        <v>10.7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28196-2022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44746</v>
      </c>
      <c r="E209" s="1" t="n">
        <v>46273</v>
      </c>
      <c r="F209" t="inlineStr">
        <is>
          <t>VÄSTRA GÖTALANDS LÄN</t>
        </is>
      </c>
      <c r="G209" t="inlineStr">
        <is>
          <t>TÖREBODA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46248</v>
      </c>
      <c r="E210" s="1" t="n">
        <v>46273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46273</v>
      </c>
      <c r="F211" t="inlineStr">
        <is>
          <t>VÄSTRA GÖTALANDS LÄN</t>
        </is>
      </c>
      <c r="G211" t="inlineStr">
        <is>
          <t>TÖREBODA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46273</v>
      </c>
      <c r="F212" t="inlineStr">
        <is>
          <t>VÄSTRA GÖTALANDS LÄN</t>
        </is>
      </c>
      <c r="G212" t="inlineStr">
        <is>
          <t>TÖREBODA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44950</v>
      </c>
      <c r="E213" s="1" t="n">
        <v>46273</v>
      </c>
      <c r="F213" t="inlineStr">
        <is>
          <t>VÄSTRA GÖTALANDS LÄN</t>
        </is>
      </c>
      <c r="G213" t="inlineStr">
        <is>
          <t>TÖREBODA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46273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15567-2026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46106</v>
      </c>
      <c r="E215" s="1" t="n">
        <v>46273</v>
      </c>
      <c r="F215" t="inlineStr">
        <is>
          <t>VÄSTRA GÖTALANDS LÄN</t>
        </is>
      </c>
      <c r="G215" t="inlineStr">
        <is>
          <t>TÖREBODA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46251</v>
      </c>
      <c r="E216" s="1" t="n">
        <v>46273</v>
      </c>
      <c r="F216" t="inlineStr">
        <is>
          <t>VÄSTRA GÖTALANDS LÄN</t>
        </is>
      </c>
      <c r="G216" t="inlineStr">
        <is>
          <t>TÖREBODA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46273</v>
      </c>
      <c r="F217" t="inlineStr">
        <is>
          <t>VÄSTRA GÖTALANDS LÄN</t>
        </is>
      </c>
      <c r="G217" t="inlineStr">
        <is>
          <t>TÖREBODA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46273</v>
      </c>
      <c r="F218" t="inlineStr">
        <is>
          <t>VÄSTRA GÖTALANDS LÄN</t>
        </is>
      </c>
      <c r="G218" t="inlineStr">
        <is>
          <t>TÖREBODA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46273</v>
      </c>
      <c r="F219" t="inlineStr">
        <is>
          <t>VÄSTRA GÖTALANDS LÄN</t>
        </is>
      </c>
      <c r="G219" t="inlineStr">
        <is>
          <t>TÖREBODA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45233</v>
      </c>
      <c r="E220" s="1" t="n">
        <v>46273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Övriga statliga verk och myndigheter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45405</v>
      </c>
      <c r="E221" s="1" t="n">
        <v>46273</v>
      </c>
      <c r="F221" t="inlineStr">
        <is>
          <t>VÄSTRA GÖTALANDS LÄN</t>
        </is>
      </c>
      <c r="G221" t="inlineStr">
        <is>
          <t>TÖREBODA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46273</v>
      </c>
      <c r="F222" t="inlineStr">
        <is>
          <t>VÄSTRA GÖTALANDS LÄN</t>
        </is>
      </c>
      <c r="G222" t="inlineStr">
        <is>
          <t>TÖREBODA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46273</v>
      </c>
      <c r="F223" t="inlineStr">
        <is>
          <t>VÄSTRA GÖTALANDS LÄN</t>
        </is>
      </c>
      <c r="G223" t="inlineStr">
        <is>
          <t>TÖREBODA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46273</v>
      </c>
      <c r="F224" t="inlineStr">
        <is>
          <t>VÄSTRA GÖTALANDS LÄN</t>
        </is>
      </c>
      <c r="G224" t="inlineStr">
        <is>
          <t>TÖREBODA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45651</v>
      </c>
      <c r="E225" s="1" t="n">
        <v>46273</v>
      </c>
      <c r="F225" t="inlineStr">
        <is>
          <t>VÄSTRA GÖTALANDS LÄN</t>
        </is>
      </c>
      <c r="G225" t="inlineStr">
        <is>
          <t>TÖREBODA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45485</v>
      </c>
      <c r="E226" s="1" t="n">
        <v>46273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48491-2022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44858</v>
      </c>
      <c r="E227" s="1" t="n">
        <v>46273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46273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46273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46268</v>
      </c>
      <c r="E230" s="1" t="n">
        <v>46273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46273</v>
      </c>
      <c r="F231" t="inlineStr">
        <is>
          <t>VÄSTRA GÖTALANDS LÄN</t>
        </is>
      </c>
      <c r="G231" t="inlineStr">
        <is>
          <t>TÖREBODA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46273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58226-2022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46273</v>
      </c>
      <c r="F233" t="inlineStr">
        <is>
          <t>VÄSTRA GÖTALANDS LÄN</t>
        </is>
      </c>
      <c r="G233" t="inlineStr">
        <is>
          <t>TÖREBODA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46273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46268</v>
      </c>
      <c r="E235" s="1" t="n">
        <v>46273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46273</v>
      </c>
      <c r="F236" t="inlineStr">
        <is>
          <t>VÄSTRA GÖTALANDS LÄN</t>
        </is>
      </c>
      <c r="G236" t="inlineStr">
        <is>
          <t>TÖREBODA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46273</v>
      </c>
      <c r="F237" t="inlineStr">
        <is>
          <t>VÄSTRA GÖTALANDS LÄN</t>
        </is>
      </c>
      <c r="G237" t="inlineStr">
        <is>
          <t>TÖREBODA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19706-2026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46134</v>
      </c>
      <c r="E238" s="1" t="n">
        <v>46273</v>
      </c>
      <c r="F238" t="inlineStr">
        <is>
          <t>VÄSTRA GÖTALANDS LÄN</t>
        </is>
      </c>
      <c r="G238" t="inlineStr">
        <is>
          <t>TÖREBODA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46273</v>
      </c>
      <c r="F239" t="inlineStr">
        <is>
          <t>VÄSTRA GÖTALANDS LÄN</t>
        </is>
      </c>
      <c r="G239" t="inlineStr">
        <is>
          <t>TÖREBODA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46273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46273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46273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46273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46273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46273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44599</v>
      </c>
      <c r="E246" s="1" t="n">
        <v>46273</v>
      </c>
      <c r="F246" t="inlineStr">
        <is>
          <t>VÄSTRA GÖTALANDS LÄN</t>
        </is>
      </c>
      <c r="G246" t="inlineStr">
        <is>
          <t>TÖREBODA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46273</v>
      </c>
      <c r="F247" t="inlineStr">
        <is>
          <t>VÄSTRA GÖTALANDS LÄN</t>
        </is>
      </c>
      <c r="G247" t="inlineStr">
        <is>
          <t>TÖREBODA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46273</v>
      </c>
      <c r="F248" t="inlineStr">
        <is>
          <t>VÄSTRA GÖTALANDS LÄN</t>
        </is>
      </c>
      <c r="G248" t="inlineStr">
        <is>
          <t>TÖREBODA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45246</v>
      </c>
      <c r="E249" s="1" t="n">
        <v>46273</v>
      </c>
      <c r="F249" t="inlineStr">
        <is>
          <t>VÄSTRA GÖTALANDS LÄN</t>
        </is>
      </c>
      <c r="G249" t="inlineStr">
        <is>
          <t>TÖREBODA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58213-2022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46273</v>
      </c>
      <c r="F250" t="inlineStr">
        <is>
          <t>VÄSTRA GÖTALANDS LÄN</t>
        </is>
      </c>
      <c r="G250" t="inlineStr">
        <is>
          <t>TÖREBODA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45076</v>
      </c>
      <c r="E251" s="1" t="n">
        <v>46273</v>
      </c>
      <c r="F251" t="inlineStr">
        <is>
          <t>VÄSTRA GÖTALANDS LÄN</t>
        </is>
      </c>
      <c r="G251" t="inlineStr">
        <is>
          <t>TÖREBODA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44937</v>
      </c>
      <c r="E252" s="1" t="n">
        <v>46273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44972</v>
      </c>
      <c r="E253" s="1" t="n">
        <v>46273</v>
      </c>
      <c r="F253" t="inlineStr">
        <is>
          <t>VÄSTRA GÖTALANDS LÄN</t>
        </is>
      </c>
      <c r="G253" t="inlineStr">
        <is>
          <t>TÖREBODA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46273</v>
      </c>
      <c r="F254" t="inlineStr">
        <is>
          <t>VÄSTRA GÖTALANDS LÄN</t>
        </is>
      </c>
      <c r="G254" t="inlineStr">
        <is>
          <t>TÖREBODA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45142</v>
      </c>
      <c r="E255" s="1" t="n">
        <v>46273</v>
      </c>
      <c r="F255" t="inlineStr">
        <is>
          <t>VÄSTRA GÖTALANDS LÄN</t>
        </is>
      </c>
      <c r="G255" t="inlineStr">
        <is>
          <t>TÖREBODA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6446-2025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45699</v>
      </c>
      <c r="E256" s="1" t="n">
        <v>46273</v>
      </c>
      <c r="F256" t="inlineStr">
        <is>
          <t>VÄSTRA GÖTALANDS LÄN</t>
        </is>
      </c>
      <c r="G256" t="inlineStr">
        <is>
          <t>TÖREBODA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46273</v>
      </c>
      <c r="F257" t="inlineStr">
        <is>
          <t>VÄSTRA GÖTALANDS LÄN</t>
        </is>
      </c>
      <c r="G257" t="inlineStr">
        <is>
          <t>TÖREBODA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46273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44987</v>
      </c>
      <c r="E259" s="1" t="n">
        <v>46273</v>
      </c>
      <c r="F259" t="inlineStr">
        <is>
          <t>VÄSTRA GÖTALANDS LÄN</t>
        </is>
      </c>
      <c r="G259" t="inlineStr">
        <is>
          <t>TÖREBODA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44987</v>
      </c>
      <c r="E260" s="1" t="n">
        <v>46273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46273</v>
      </c>
      <c r="F261" t="inlineStr">
        <is>
          <t>VÄSTRA GÖTALANDS LÄN</t>
        </is>
      </c>
      <c r="G261" t="inlineStr">
        <is>
          <t>TÖREBODA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44792</v>
      </c>
      <c r="E262" s="1" t="n">
        <v>46273</v>
      </c>
      <c r="F262" t="inlineStr">
        <is>
          <t>VÄSTRA GÖTALANDS LÄN</t>
        </is>
      </c>
      <c r="G262" t="inlineStr">
        <is>
          <t>TÖREBODA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46273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4194-2024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45324</v>
      </c>
      <c r="E264" s="1" t="n">
        <v>46273</v>
      </c>
      <c r="F264" t="inlineStr">
        <is>
          <t>VÄSTRA GÖTALANDS LÄN</t>
        </is>
      </c>
      <c r="G264" t="inlineStr">
        <is>
          <t>TÖREBODA</t>
        </is>
      </c>
      <c r="I264" t="n">
        <v>28.9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46273</v>
      </c>
      <c r="F265" t="inlineStr">
        <is>
          <t>VÄSTRA GÖTALANDS LÄN</t>
        </is>
      </c>
      <c r="G265" t="inlineStr">
        <is>
          <t>TÖREBODA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45056</v>
      </c>
      <c r="E266" s="1" t="n">
        <v>46273</v>
      </c>
      <c r="F266" t="inlineStr">
        <is>
          <t>VÄSTRA GÖTALANDS LÄN</t>
        </is>
      </c>
      <c r="G266" t="inlineStr">
        <is>
          <t>TÖREBODA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46273</v>
      </c>
      <c r="F267" t="inlineStr">
        <is>
          <t>VÄSTRA GÖTALANDS LÄN</t>
        </is>
      </c>
      <c r="G267" t="inlineStr">
        <is>
          <t>TÖREBODA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56831-2022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44894</v>
      </c>
      <c r="E268" s="1" t="n">
        <v>46273</v>
      </c>
      <c r="F268" t="inlineStr">
        <is>
          <t>VÄSTRA GÖTALANDS LÄN</t>
        </is>
      </c>
      <c r="G268" t="inlineStr">
        <is>
          <t>TÖREBODA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46273</v>
      </c>
      <c r="F269" t="inlineStr">
        <is>
          <t>VÄSTRA GÖTALANDS LÄN</t>
        </is>
      </c>
      <c r="G269" t="inlineStr">
        <is>
          <t>TÖREBODA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46273</v>
      </c>
      <c r="F270" t="inlineStr">
        <is>
          <t>VÄSTRA GÖTALANDS LÄN</t>
        </is>
      </c>
      <c r="G270" t="inlineStr">
        <is>
          <t>TÖREBODA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46273</v>
      </c>
      <c r="F271" t="inlineStr">
        <is>
          <t>VÄSTRA GÖTALANDS LÄN</t>
        </is>
      </c>
      <c r="G271" t="inlineStr">
        <is>
          <t>TÖREBODA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41627-2022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44827</v>
      </c>
      <c r="E272" s="1" t="n">
        <v>46273</v>
      </c>
      <c r="F272" t="inlineStr">
        <is>
          <t>VÄSTRA GÖTALANDS LÄN</t>
        </is>
      </c>
      <c r="G272" t="inlineStr">
        <is>
          <t>TÖREBODA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41632-2022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44827</v>
      </c>
      <c r="E273" s="1" t="n">
        <v>46273</v>
      </c>
      <c r="F273" t="inlineStr">
        <is>
          <t>VÄSTRA GÖTALANDS LÄN</t>
        </is>
      </c>
      <c r="G273" t="inlineStr">
        <is>
          <t>TÖREBODA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46273</v>
      </c>
      <c r="F274" t="inlineStr">
        <is>
          <t>VÄSTRA GÖTALANDS LÄN</t>
        </is>
      </c>
      <c r="G274" t="inlineStr">
        <is>
          <t>TÖREBODA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46273</v>
      </c>
      <c r="F275" t="inlineStr">
        <is>
          <t>VÄSTRA GÖTALANDS LÄN</t>
        </is>
      </c>
      <c r="G275" t="inlineStr">
        <is>
          <t>TÖREBODA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45552</v>
      </c>
      <c r="E276" s="1" t="n">
        <v>46273</v>
      </c>
      <c r="F276" t="inlineStr">
        <is>
          <t>VÄSTRA GÖTALANDS LÄN</t>
        </is>
      </c>
      <c r="G276" t="inlineStr">
        <is>
          <t>TÖREBODA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63113-2023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46273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45350</v>
      </c>
      <c r="E278" s="1" t="n">
        <v>46273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46273</v>
      </c>
      <c r="F279" t="inlineStr">
        <is>
          <t>VÄSTRA GÖTALANDS LÄN</t>
        </is>
      </c>
      <c r="G279" t="inlineStr">
        <is>
          <t>TÖREBODA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46273</v>
      </c>
      <c r="F280" t="inlineStr">
        <is>
          <t>VÄSTRA GÖTALANDS LÄN</t>
        </is>
      </c>
      <c r="G280" t="inlineStr">
        <is>
          <t>TÖREBODA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59438-2022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46273</v>
      </c>
      <c r="F281" t="inlineStr">
        <is>
          <t>VÄSTRA GÖTALANDS LÄN</t>
        </is>
      </c>
      <c r="G281" t="inlineStr">
        <is>
          <t>TÖREBODA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45352</v>
      </c>
      <c r="E282" s="1" t="n">
        <v>46273</v>
      </c>
      <c r="F282" t="inlineStr">
        <is>
          <t>VÄSTRA GÖTALANDS LÄN</t>
        </is>
      </c>
      <c r="G282" t="inlineStr">
        <is>
          <t>TÖREBODA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46273</v>
      </c>
      <c r="F283" t="inlineStr">
        <is>
          <t>VÄSTRA GÖTALANDS LÄN</t>
        </is>
      </c>
      <c r="G283" t="inlineStr">
        <is>
          <t>TÖREBODA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46273</v>
      </c>
      <c r="F284" t="inlineStr">
        <is>
          <t>VÄSTRA GÖTALANDS LÄN</t>
        </is>
      </c>
      <c r="G284" t="inlineStr">
        <is>
          <t>TÖREBODA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46273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46273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45727</v>
      </c>
      <c r="E287" s="1" t="n">
        <v>46273</v>
      </c>
      <c r="F287" t="inlineStr">
        <is>
          <t>VÄSTRA GÖTALANDS LÄN</t>
        </is>
      </c>
      <c r="G287" t="inlineStr">
        <is>
          <t>TÖREBODA</t>
        </is>
      </c>
      <c r="I287" t="n">
        <v>11.2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45713</v>
      </c>
      <c r="E288" s="1" t="n">
        <v>46273</v>
      </c>
      <c r="F288" t="inlineStr">
        <is>
          <t>VÄSTRA GÖTALANDS LÄN</t>
        </is>
      </c>
      <c r="G288" t="inlineStr">
        <is>
          <t>TÖREBODA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46273</v>
      </c>
      <c r="F289" t="inlineStr">
        <is>
          <t>VÄSTRA GÖTALANDS LÄN</t>
        </is>
      </c>
      <c r="G289" t="inlineStr">
        <is>
          <t>TÖREBODA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46273</v>
      </c>
      <c r="F290" t="inlineStr">
        <is>
          <t>VÄSTRA GÖTALANDS LÄN</t>
        </is>
      </c>
      <c r="G290" t="inlineStr">
        <is>
          <t>TÖREBODA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46273</v>
      </c>
      <c r="F291" t="inlineStr">
        <is>
          <t>VÄSTRA GÖTALANDS LÄN</t>
        </is>
      </c>
      <c r="G291" t="inlineStr">
        <is>
          <t>TÖREBODA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45439</v>
      </c>
      <c r="E292" s="1" t="n">
        <v>46273</v>
      </c>
      <c r="F292" t="inlineStr">
        <is>
          <t>VÄSTRA GÖTALANDS LÄN</t>
        </is>
      </c>
      <c r="G292" t="inlineStr">
        <is>
          <t>TÖREBODA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45394</v>
      </c>
      <c r="E293" s="1" t="n">
        <v>46273</v>
      </c>
      <c r="F293" t="inlineStr">
        <is>
          <t>VÄSTRA GÖTALANDS LÄN</t>
        </is>
      </c>
      <c r="G293" t="inlineStr">
        <is>
          <t>TÖREBODA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46273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Kyrkan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45209</v>
      </c>
      <c r="E295" s="1" t="n">
        <v>46273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45493</v>
      </c>
      <c r="E296" s="1" t="n">
        <v>46273</v>
      </c>
      <c r="F296" t="inlineStr">
        <is>
          <t>VÄSTRA GÖTALANDS LÄN</t>
        </is>
      </c>
      <c r="G296" t="inlineStr">
        <is>
          <t>TÖREBODA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45569</v>
      </c>
      <c r="E297" s="1" t="n">
        <v>46273</v>
      </c>
      <c r="F297" t="inlineStr">
        <is>
          <t>VÄSTRA GÖTALANDS LÄN</t>
        </is>
      </c>
      <c r="G297" t="inlineStr">
        <is>
          <t>TÖREBODA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46273</v>
      </c>
      <c r="F298" t="inlineStr">
        <is>
          <t>VÄSTRA GÖTALANDS LÄN</t>
        </is>
      </c>
      <c r="G298" t="inlineStr">
        <is>
          <t>TÖREBODA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26941-2025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45811</v>
      </c>
      <c r="E299" s="1" t="n">
        <v>46273</v>
      </c>
      <c r="F299" t="inlineStr">
        <is>
          <t>VÄSTRA GÖTALANDS LÄN</t>
        </is>
      </c>
      <c r="G299" t="inlineStr">
        <is>
          <t>TÖREBODA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45569</v>
      </c>
      <c r="E300" s="1" t="n">
        <v>46273</v>
      </c>
      <c r="F300" t="inlineStr">
        <is>
          <t>VÄSTRA GÖTALANDS LÄN</t>
        </is>
      </c>
      <c r="G300" t="inlineStr">
        <is>
          <t>TÖREBODA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46273</v>
      </c>
      <c r="F301" t="inlineStr">
        <is>
          <t>VÄSTRA GÖTALANDS LÄN</t>
        </is>
      </c>
      <c r="G301" t="inlineStr">
        <is>
          <t>TÖREBODA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46273</v>
      </c>
      <c r="F302" t="inlineStr">
        <is>
          <t>VÄSTRA GÖTALANDS LÄN</t>
        </is>
      </c>
      <c r="G302" t="inlineStr">
        <is>
          <t>TÖREBODA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46273</v>
      </c>
      <c r="F303" t="inlineStr">
        <is>
          <t>VÄSTRA GÖTALANDS LÄN</t>
        </is>
      </c>
      <c r="G303" t="inlineStr">
        <is>
          <t>TÖREBODA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46273</v>
      </c>
      <c r="F304" t="inlineStr">
        <is>
          <t>VÄSTRA GÖTALANDS LÄN</t>
        </is>
      </c>
      <c r="G304" t="inlineStr">
        <is>
          <t>TÖREBODA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46273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Övriga statliga verk och myndigheter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46273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Övriga statliga verk och myndigheter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46273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46273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46273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46273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46273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46273</v>
      </c>
      <c r="F312" t="inlineStr">
        <is>
          <t>VÄSTRA GÖTALANDS LÄN</t>
        </is>
      </c>
      <c r="G312" t="inlineStr">
        <is>
          <t>TÖREBODA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46273</v>
      </c>
      <c r="F313" t="inlineStr">
        <is>
          <t>VÄSTRA GÖTALANDS LÄN</t>
        </is>
      </c>
      <c r="G313" t="inlineStr">
        <is>
          <t>TÖREBODA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45741</v>
      </c>
      <c r="E314" s="1" t="n">
        <v>46273</v>
      </c>
      <c r="F314" t="inlineStr">
        <is>
          <t>VÄSTRA GÖTALANDS LÄN</t>
        </is>
      </c>
      <c r="G314" t="inlineStr">
        <is>
          <t>TÖREBODA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46273</v>
      </c>
      <c r="F315" t="inlineStr">
        <is>
          <t>VÄSTRA GÖTALANDS LÄN</t>
        </is>
      </c>
      <c r="G315" t="inlineStr">
        <is>
          <t>TÖREBODA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46273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46273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46273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46273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2026-09-08T02:12:42Z</dcterms:created>
  <dcterms:modified xmlns:dcterms="http://purl.org/dc/terms/" xmlns:xsi="http://www.w3.org/2001/XMLSchema-instance" xsi:type="dcterms:W3CDTF">2026-09-08T02:12:43Z</dcterms:modified>
</cp:coreProperties>
</file>