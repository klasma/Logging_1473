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46249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46249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46249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46249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46249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46249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46249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46249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46249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46249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46249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46249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46249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46249</v>
      </c>
      <c r="F15" t="inlineStr">
        <is>
          <t>VÄSTRA GÖTALANDS LÄN</t>
        </is>
      </c>
      <c r="G15" t="inlineStr">
        <is>
          <t>TÖREBODA</t>
        </is>
      </c>
      <c r="I15" t="n">
        <v>2.4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Slåtterfibbla
Mattlummer</t>
        </is>
      </c>
      <c r="W15">
        <f>HYPERLINK("https://klasma.github.io/Logging_1473/artfynd/A 39659-2024 artfynd.xlsx", "A 39659-2024")</f>
        <v/>
      </c>
      <c r="X15">
        <f>HYPERLINK("https://klasma.github.io/Logging_1473/kartor/A 39659-2024 karta.png", "A 39659-2024")</f>
        <v/>
      </c>
      <c r="Y15">
        <f>HYPERLINK("https://klasma.github.io/Logging_1473/kartor_geotiff/A 39659-2024 georefererad karta.tif", "A 39659-2024")</f>
        <v/>
      </c>
      <c r="AA15">
        <f>HYPERLINK("https://klasma.github.io/Logging_1473/klagomål/A 39659-2024 FSC-klagomål.docx", "A 39659-2024")</f>
        <v/>
      </c>
      <c r="AB15">
        <f>HYPERLINK("https://klasma.github.io/Logging_1473/klagomålsmail/A 39659-2024 FSC-klagomål mail.docx", "A 39659-2024")</f>
        <v/>
      </c>
      <c r="AC15">
        <f>HYPERLINK("https://klasma.github.io/Logging_1473/tillsyn/A 39659-2024 tillsynsbegäran.docx", "A 39659-2024")</f>
        <v/>
      </c>
      <c r="AD15">
        <f>HYPERLINK("https://klasma.github.io/Logging_1473/tillsynsmail/A 39659-2024 tillsynsbegäran mail.docx", "A 39659-2024")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46249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46249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39894-2023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46249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HYPERLINK("https://klasma.github.io/Logging_1473/artfynd/A 39894-2023 artfynd.xlsx", "A 39894-2023")</f>
        <v/>
      </c>
      <c r="X18">
        <f>HYPERLINK("https://klasma.github.io/Logging_1473/kartor/A 39894-2023 karta.png", "A 39894-2023")</f>
        <v/>
      </c>
      <c r="Y18">
        <f>HYPERLINK("https://klasma.github.io/Logging_1473/kartor_geotiff/A 39894-2023 georefererad karta.tif", "A 39894-2023")</f>
        <v/>
      </c>
      <c r="AA18">
        <f>HYPERLINK("https://klasma.github.io/Logging_1473/klagomål/A 39894-2023 FSC-klagomål.docx", "A 39894-2023")</f>
        <v/>
      </c>
      <c r="AB18">
        <f>HYPERLINK("https://klasma.github.io/Logging_1473/klagomålsmail/A 39894-2023 FSC-klagomål mail.docx", "A 39894-2023")</f>
        <v/>
      </c>
      <c r="AC18">
        <f>HYPERLINK("https://klasma.github.io/Logging_1473/tillsyn/A 39894-2023 tillsynsbegäran.docx", "A 39894-2023")</f>
        <v/>
      </c>
      <c r="AD18">
        <f>HYPERLINK("https://klasma.github.io/Logging_1473/tillsynsmail/A 39894-2023 tillsynsbegäran mail.docx", "A 39894-2023")</f>
        <v/>
      </c>
      <c r="AE18">
        <f>HYPERLINK("https://klasma.github.io/Logging_1473/fåglar/A 39894-2023 prioriterade fågelarter.docx", "A 39894-2023")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46249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46249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HYPERLINK("https://klasma.github.io/Logging_1473/artfynd/A 9985-2023 artfynd.xlsx", "A 9985-2023")</f>
        <v/>
      </c>
      <c r="X20">
        <f>HYPERLINK("https://klasma.github.io/Logging_1473/kartor/A 9985-2023 karta.png", "A 9985-2023")</f>
        <v/>
      </c>
      <c r="Y20">
        <f>HYPERLINK("https://klasma.github.io/Logging_1473/kartor_geotiff/A 9985-2023 georefererad karta.tif", "A 9985-2023")</f>
        <v/>
      </c>
      <c r="AA20">
        <f>HYPERLINK("https://klasma.github.io/Logging_1473/klagomål/A 9985-2023 FSC-klagomål.docx", "A 9985-2023")</f>
        <v/>
      </c>
      <c r="AB20">
        <f>HYPERLINK("https://klasma.github.io/Logging_1473/klagomålsmail/A 9985-2023 FSC-klagomål mail.docx", "A 9985-2023")</f>
        <v/>
      </c>
      <c r="AC20">
        <f>HYPERLINK("https://klasma.github.io/Logging_1473/tillsyn/A 9985-2023 tillsynsbegäran.docx", "A 9985-2023")</f>
        <v/>
      </c>
      <c r="AD20">
        <f>HYPERLINK("https://klasma.github.io/Logging_1473/tillsynsmail/A 9985-2023 tillsynsbegäran mail.docx", "A 9985-2023")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46249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46249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46249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46249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30816-2026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46212</v>
      </c>
      <c r="E25" s="1" t="n">
        <v>46249</v>
      </c>
      <c r="F25" t="inlineStr">
        <is>
          <t>VÄSTRA GÖTALANDS LÄN</t>
        </is>
      </c>
      <c r="G25" t="inlineStr">
        <is>
          <t>TÖREBODA</t>
        </is>
      </c>
      <c r="H25" t="inlineStr">
        <is>
          <t>Kyrkan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30816-2026 artfynd.xlsx", "A 30816-2026")</f>
        <v/>
      </c>
      <c r="X25">
        <f>HYPERLINK("https://klasma.github.io/Logging_1473/kartor/A 30816-2026 karta.png", "A 30816-2026")</f>
        <v/>
      </c>
      <c r="Y25">
        <f>HYPERLINK("https://klasma.github.io/Logging_1473/kartor_geotiff/A 30816-2026 georefererad karta.tif", "A 30816-2026")</f>
        <v/>
      </c>
      <c r="AA25">
        <f>HYPERLINK("https://klasma.github.io/Logging_1473/klagomål/A 30816-2026 FSC-klagomål.docx", "A 30816-2026")</f>
        <v/>
      </c>
      <c r="AB25">
        <f>HYPERLINK("https://klasma.github.io/Logging_1473/klagomålsmail/A 30816-2026 FSC-klagomål mail.docx", "A 30816-2026")</f>
        <v/>
      </c>
      <c r="AC25">
        <f>HYPERLINK("https://klasma.github.io/Logging_1473/tillsyn/A 30816-2026 tillsynsbegäran.docx", "A 30816-2026")</f>
        <v/>
      </c>
      <c r="AD25">
        <f>HYPERLINK("https://klasma.github.io/Logging_1473/tillsynsmail/A 30816-2026 tillsynsbegäran mail.docx", "A 30816-2026")</f>
        <v/>
      </c>
      <c r="AE25">
        <f>HYPERLINK("https://klasma.github.io/Logging_1473/fåglar/A 30816-2026 prioriterade fågelarter.docx", "A 30816-2026")</f>
        <v/>
      </c>
    </row>
    <row r="26" ht="15" customHeight="1">
      <c r="A26" t="inlineStr">
        <is>
          <t>A 12168-2025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46249</v>
      </c>
      <c r="F26" t="inlineStr">
        <is>
          <t>VÄSTRA GÖTALANDS LÄN</t>
        </is>
      </c>
      <c r="G26" t="inlineStr">
        <is>
          <t>TÖREBODA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HYPERLINK("https://klasma.github.io/Logging_1473/artfynd/A 12168-2025 artfynd.xlsx", "A 12168-2025")</f>
        <v/>
      </c>
      <c r="X26">
        <f>HYPERLINK("https://klasma.github.io/Logging_1473/kartor/A 12168-2025 karta.png", "A 12168-2025")</f>
        <v/>
      </c>
      <c r="Y26">
        <f>HYPERLINK("https://klasma.github.io/Logging_1473/kartor_geotiff/A 12168-2025 georefererad karta.tif", "A 12168-2025")</f>
        <v/>
      </c>
      <c r="AA26">
        <f>HYPERLINK("https://klasma.github.io/Logging_1473/klagomål/A 12168-2025 FSC-klagomål.docx", "A 12168-2025")</f>
        <v/>
      </c>
      <c r="AB26">
        <f>HYPERLINK("https://klasma.github.io/Logging_1473/klagomålsmail/A 12168-2025 FSC-klagomål mail.docx", "A 12168-2025")</f>
        <v/>
      </c>
      <c r="AC26">
        <f>HYPERLINK("https://klasma.github.io/Logging_1473/tillsyn/A 12168-2025 tillsynsbegäran.docx", "A 12168-2025")</f>
        <v/>
      </c>
      <c r="AD26">
        <f>HYPERLINK("https://klasma.github.io/Logging_1473/tillsynsmail/A 12168-2025 tillsynsbegäran mail.docx", "A 12168-2025")</f>
        <v/>
      </c>
      <c r="AE26">
        <f>HYPERLINK("https://klasma.github.io/Logging_1473/fåglar/A 12168-2025 prioriterade fågelarter.docx", "A 12168-2025")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46249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58097-2024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46249</v>
      </c>
      <c r="F28" t="inlineStr">
        <is>
          <t>VÄSTRA GÖTALANDS LÄN</t>
        </is>
      </c>
      <c r="G28" t="inlineStr">
        <is>
          <t>TÖREBODA</t>
        </is>
      </c>
      <c r="I28" t="n">
        <v>8.6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Vattenfladdermus</t>
        </is>
      </c>
      <c r="W28">
        <f>HYPERLINK("https://klasma.github.io/Logging_1473/artfynd/A 58097-2024 artfynd.xlsx", "A 58097-2024")</f>
        <v/>
      </c>
      <c r="X28">
        <f>HYPERLINK("https://klasma.github.io/Logging_1473/kartor/A 58097-2024 karta.png", "A 58097-2024")</f>
        <v/>
      </c>
      <c r="Y28">
        <f>HYPERLINK("https://klasma.github.io/Logging_1473/kartor_geotiff/A 58097-2024 georefererad karta.tif", "A 58097-2024")</f>
        <v/>
      </c>
      <c r="AA28">
        <f>HYPERLINK("https://klasma.github.io/Logging_1473/klagomål/A 58097-2024 FSC-klagomål.docx", "A 58097-2024")</f>
        <v/>
      </c>
      <c r="AB28">
        <f>HYPERLINK("https://klasma.github.io/Logging_1473/klagomålsmail/A 58097-2024 FSC-klagomål mail.docx", "A 58097-2024")</f>
        <v/>
      </c>
      <c r="AC28">
        <f>HYPERLINK("https://klasma.github.io/Logging_1473/tillsyn/A 58097-2024 tillsynsbegäran.docx", "A 58097-2024")</f>
        <v/>
      </c>
      <c r="AD28">
        <f>HYPERLINK("https://klasma.github.io/Logging_1473/tillsynsmail/A 58097-2024 tillsynsbegäran mail.docx", "A 58097-2024")</f>
        <v/>
      </c>
    </row>
    <row r="29" ht="15" customHeight="1">
      <c r="A29" t="inlineStr">
        <is>
          <t>A 17540-2025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46249</v>
      </c>
      <c r="F29" t="inlineStr">
        <is>
          <t>VÄSTRA GÖTALANDS LÄN</t>
        </is>
      </c>
      <c r="G29" t="inlineStr">
        <is>
          <t>TÖREBODA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Vattenfladdermus</t>
        </is>
      </c>
      <c r="W29">
        <f>HYPERLINK("https://klasma.github.io/Logging_1473/artfynd/A 17540-2025 artfynd.xlsx", "A 17540-2025")</f>
        <v/>
      </c>
      <c r="X29">
        <f>HYPERLINK("https://klasma.github.io/Logging_1473/kartor/A 17540-2025 karta.png", "A 17540-2025")</f>
        <v/>
      </c>
      <c r="Y29">
        <f>HYPERLINK("https://klasma.github.io/Logging_1473/kartor_geotiff/A 17540-2025 georefererad karta.tif", "A 17540-2025")</f>
        <v/>
      </c>
      <c r="AA29">
        <f>HYPERLINK("https://klasma.github.io/Logging_1473/klagomål/A 17540-2025 FSC-klagomål.docx", "A 17540-2025")</f>
        <v/>
      </c>
      <c r="AB29">
        <f>HYPERLINK("https://klasma.github.io/Logging_1473/klagomålsmail/A 17540-2025 FSC-klagomål mail.docx", "A 17540-2025")</f>
        <v/>
      </c>
      <c r="AC29">
        <f>HYPERLINK("https://klasma.github.io/Logging_1473/tillsyn/A 17540-2025 tillsynsbegäran.docx", "A 17540-2025")</f>
        <v/>
      </c>
      <c r="AD29">
        <f>HYPERLINK("https://klasma.github.io/Logging_1473/tillsynsmail/A 17540-2025 tillsynsbegäran mail.docx", "A 17540-2025")</f>
        <v/>
      </c>
    </row>
    <row r="30" ht="15" customHeight="1">
      <c r="A30" t="inlineStr">
        <is>
          <t>A 55174-2024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46249</v>
      </c>
      <c r="F30" t="inlineStr">
        <is>
          <t>VÄSTRA GÖTALANDS LÄN</t>
        </is>
      </c>
      <c r="G30" t="inlineStr">
        <is>
          <t>TÖREBODA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HYPERLINK("https://klasma.github.io/Logging_1473/artfynd/A 55174-2024 artfynd.xlsx", "A 55174-2024")</f>
        <v/>
      </c>
      <c r="X30">
        <f>HYPERLINK("https://klasma.github.io/Logging_1473/kartor/A 55174-2024 karta.png", "A 55174-2024")</f>
        <v/>
      </c>
      <c r="Y30">
        <f>HYPERLINK("https://klasma.github.io/Logging_1473/kartor_geotiff/A 55174-2024 georefererad karta.tif", "A 55174-2024")</f>
        <v/>
      </c>
      <c r="AA30">
        <f>HYPERLINK("https://klasma.github.io/Logging_1473/klagomål/A 55174-2024 FSC-klagomål.docx", "A 55174-2024")</f>
        <v/>
      </c>
      <c r="AB30">
        <f>HYPERLINK("https://klasma.github.io/Logging_1473/klagomålsmail/A 55174-2024 FSC-klagomål mail.docx", "A 55174-2024")</f>
        <v/>
      </c>
      <c r="AC30">
        <f>HYPERLINK("https://klasma.github.io/Logging_1473/tillsyn/A 55174-2024 tillsynsbegäran.docx", "A 55174-2024")</f>
        <v/>
      </c>
      <c r="AD30">
        <f>HYPERLINK("https://klasma.github.io/Logging_1473/tillsynsmail/A 55174-2024 tillsynsbegäran mail.docx", "A 55174-2024")</f>
        <v/>
      </c>
    </row>
    <row r="31" ht="15" customHeight="1">
      <c r="A31" t="inlineStr">
        <is>
          <t>A 14755-2025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45742</v>
      </c>
      <c r="E31" s="1" t="n">
        <v>46249</v>
      </c>
      <c r="F31" t="inlineStr">
        <is>
          <t>VÄSTRA GÖTALANDS LÄN</t>
        </is>
      </c>
      <c r="G31" t="inlineStr">
        <is>
          <t>TÖREBODA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Mattlummer</t>
        </is>
      </c>
      <c r="W31">
        <f>HYPERLINK("https://klasma.github.io/Logging_1473/artfynd/A 14755-2025 artfynd.xlsx", "A 14755-2025")</f>
        <v/>
      </c>
      <c r="X31">
        <f>HYPERLINK("https://klasma.github.io/Logging_1473/kartor/A 14755-2025 karta.png", "A 14755-2025")</f>
        <v/>
      </c>
      <c r="Y31">
        <f>HYPERLINK("https://klasma.github.io/Logging_1473/kartor_geotiff/A 14755-2025 georefererad karta.tif", "A 14755-2025")</f>
        <v/>
      </c>
      <c r="AA31">
        <f>HYPERLINK("https://klasma.github.io/Logging_1473/klagomål/A 14755-2025 FSC-klagomål.docx", "A 14755-2025")</f>
        <v/>
      </c>
      <c r="AB31">
        <f>HYPERLINK("https://klasma.github.io/Logging_1473/klagomålsmail/A 14755-2025 FSC-klagomål mail.docx", "A 14755-2025")</f>
        <v/>
      </c>
      <c r="AC31">
        <f>HYPERLINK("https://klasma.github.io/Logging_1473/tillsyn/A 14755-2025 tillsynsbegäran.docx", "A 14755-2025")</f>
        <v/>
      </c>
      <c r="AD31">
        <f>HYPERLINK("https://klasma.github.io/Logging_1473/tillsynsmail/A 14755-2025 tillsynsbegäran mail.docx", "A 14755-2025")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46249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46249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46249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46249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46249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46249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46249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46249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46249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46249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46249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46249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46249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42215-2021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44426</v>
      </c>
      <c r="E45" s="1" t="n">
        <v>46249</v>
      </c>
      <c r="F45" t="inlineStr">
        <is>
          <t>VÄSTRA GÖTALANDS LÄN</t>
        </is>
      </c>
      <c r="G45" t="inlineStr">
        <is>
          <t>TÖREBODA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46249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46249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46249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46249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46249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46249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46249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46249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46249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46249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46249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46249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46249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46249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46249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45209</v>
      </c>
      <c r="E61" s="1" t="n">
        <v>46249</v>
      </c>
      <c r="F61" t="inlineStr">
        <is>
          <t>VÄSTRA GÖTALANDS LÄN</t>
        </is>
      </c>
      <c r="G61" t="inlineStr">
        <is>
          <t>TÖREBODA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46249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46249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46249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11683-2024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45373</v>
      </c>
      <c r="E65" s="1" t="n">
        <v>46249</v>
      </c>
      <c r="F65" t="inlineStr">
        <is>
          <t>VÄSTRA GÖTALANDS LÄN</t>
        </is>
      </c>
      <c r="G65" t="inlineStr">
        <is>
          <t>TÖREBODA</t>
        </is>
      </c>
      <c r="I65" t="n">
        <v>23.8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46249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Sveaskog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46249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45460</v>
      </c>
      <c r="E68" s="1" t="n">
        <v>46249</v>
      </c>
      <c r="F68" t="inlineStr">
        <is>
          <t>VÄSTRA GÖTALANDS LÄN</t>
        </is>
      </c>
      <c r="G68" t="inlineStr">
        <is>
          <t>TÖREBODA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46249</v>
      </c>
      <c r="F69" t="inlineStr">
        <is>
          <t>VÄSTRA GÖTALANDS LÄN</t>
        </is>
      </c>
      <c r="G69" t="inlineStr">
        <is>
          <t>TÖREBODA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46249</v>
      </c>
      <c r="F70" t="inlineStr">
        <is>
          <t>VÄSTRA GÖTALANDS LÄN</t>
        </is>
      </c>
      <c r="G70" t="inlineStr">
        <is>
          <t>TÖREBODA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44986</v>
      </c>
      <c r="E71" s="1" t="n">
        <v>46249</v>
      </c>
      <c r="F71" t="inlineStr">
        <is>
          <t>VÄSTRA GÖTALANDS LÄN</t>
        </is>
      </c>
      <c r="G71" t="inlineStr">
        <is>
          <t>TÖREBODA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46249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44868</v>
      </c>
      <c r="E73" s="1" t="n">
        <v>46249</v>
      </c>
      <c r="F73" t="inlineStr">
        <is>
          <t>VÄSTRA GÖTALANDS LÄN</t>
        </is>
      </c>
      <c r="G73" t="inlineStr">
        <is>
          <t>TÖREBODA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46249</v>
      </c>
      <c r="F74" t="inlineStr">
        <is>
          <t>VÄSTRA GÖTALANDS LÄN</t>
        </is>
      </c>
      <c r="G74" t="inlineStr">
        <is>
          <t>TÖREBODA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28196-2022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44746</v>
      </c>
      <c r="E75" s="1" t="n">
        <v>46249</v>
      </c>
      <c r="F75" t="inlineStr">
        <is>
          <t>VÄSTRA GÖTALANDS LÄN</t>
        </is>
      </c>
      <c r="G75" t="inlineStr">
        <is>
          <t>TÖREBODA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46249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47162-2022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46249</v>
      </c>
      <c r="F77" t="inlineStr">
        <is>
          <t>VÄSTRA GÖTALANDS LÄN</t>
        </is>
      </c>
      <c r="G77" t="inlineStr">
        <is>
          <t>TÖREBODA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46249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46249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Kommuner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46249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46249</v>
      </c>
      <c r="F81" t="inlineStr">
        <is>
          <t>VÄSTRA GÖTALANDS LÄN</t>
        </is>
      </c>
      <c r="G81" t="inlineStr">
        <is>
          <t>TÖREBODA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45885</v>
      </c>
      <c r="E82" s="1" t="n">
        <v>46249</v>
      </c>
      <c r="F82" t="inlineStr">
        <is>
          <t>VÄSTRA GÖTALANDS LÄN</t>
        </is>
      </c>
      <c r="G82" t="inlineStr">
        <is>
          <t>TÖREBODA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45885</v>
      </c>
      <c r="E83" s="1" t="n">
        <v>46249</v>
      </c>
      <c r="F83" t="inlineStr">
        <is>
          <t>VÄSTRA GÖTALANDS LÄN</t>
        </is>
      </c>
      <c r="G83" t="inlineStr">
        <is>
          <t>TÖREBODA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46249</v>
      </c>
      <c r="F84" t="inlineStr">
        <is>
          <t>VÄSTRA GÖTALANDS LÄN</t>
        </is>
      </c>
      <c r="G84" t="inlineStr">
        <is>
          <t>TÖREBODA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46249</v>
      </c>
      <c r="F85" t="inlineStr">
        <is>
          <t>VÄSTRA GÖTALANDS LÄN</t>
        </is>
      </c>
      <c r="G85" t="inlineStr">
        <is>
          <t>TÖREBODA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45341</v>
      </c>
      <c r="E86" s="1" t="n">
        <v>46249</v>
      </c>
      <c r="F86" t="inlineStr">
        <is>
          <t>VÄSTRA GÖTALANDS LÄN</t>
        </is>
      </c>
      <c r="G86" t="inlineStr">
        <is>
          <t>TÖREBODA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44571</v>
      </c>
      <c r="E87" s="1" t="n">
        <v>46249</v>
      </c>
      <c r="F87" t="inlineStr">
        <is>
          <t>VÄSTRA GÖTALANDS LÄN</t>
        </is>
      </c>
      <c r="G87" t="inlineStr">
        <is>
          <t>TÖREBODA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46249</v>
      </c>
      <c r="F88" t="inlineStr">
        <is>
          <t>VÄSTRA GÖTALANDS LÄN</t>
        </is>
      </c>
      <c r="G88" t="inlineStr">
        <is>
          <t>TÖREBODA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45481</v>
      </c>
      <c r="E89" s="1" t="n">
        <v>46249</v>
      </c>
      <c r="F89" t="inlineStr">
        <is>
          <t>VÄSTRA GÖTALANDS LÄN</t>
        </is>
      </c>
      <c r="G89" t="inlineStr">
        <is>
          <t>TÖREBODA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46249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46249</v>
      </c>
      <c r="F91" t="inlineStr">
        <is>
          <t>VÄSTRA GÖTALANDS LÄN</t>
        </is>
      </c>
      <c r="G91" t="inlineStr">
        <is>
          <t>TÖREBODA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46249</v>
      </c>
      <c r="F92" t="inlineStr">
        <is>
          <t>VÄSTRA GÖTALANDS LÄN</t>
        </is>
      </c>
      <c r="G92" t="inlineStr">
        <is>
          <t>TÖREBODA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25908-2025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46249</v>
      </c>
      <c r="F93" t="inlineStr">
        <is>
          <t>VÄSTRA GÖTALANDS LÄN</t>
        </is>
      </c>
      <c r="G93" t="inlineStr">
        <is>
          <t>TÖREBODA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45915</v>
      </c>
      <c r="E94" s="1" t="n">
        <v>46249</v>
      </c>
      <c r="F94" t="inlineStr">
        <is>
          <t>VÄSTRA GÖTALANDS LÄN</t>
        </is>
      </c>
      <c r="G94" t="inlineStr">
        <is>
          <t>TÖREBODA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45627</v>
      </c>
      <c r="E95" s="1" t="n">
        <v>46249</v>
      </c>
      <c r="F95" t="inlineStr">
        <is>
          <t>VÄSTRA GÖTALANDS LÄN</t>
        </is>
      </c>
      <c r="G95" t="inlineStr">
        <is>
          <t>TÖREBODA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46249</v>
      </c>
      <c r="F96" t="inlineStr">
        <is>
          <t>VÄSTRA GÖTALANDS LÄN</t>
        </is>
      </c>
      <c r="G96" t="inlineStr">
        <is>
          <t>TÖREBODA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44907</v>
      </c>
      <c r="E97" s="1" t="n">
        <v>46249</v>
      </c>
      <c r="F97" t="inlineStr">
        <is>
          <t>VÄSTRA GÖTALANDS LÄN</t>
        </is>
      </c>
      <c r="G97" t="inlineStr">
        <is>
          <t>TÖREBODA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46249</v>
      </c>
      <c r="F98" t="inlineStr">
        <is>
          <t>VÄSTRA GÖTALANDS LÄN</t>
        </is>
      </c>
      <c r="G98" t="inlineStr">
        <is>
          <t>TÖREBODA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45924</v>
      </c>
      <c r="E99" s="1" t="n">
        <v>46249</v>
      </c>
      <c r="F99" t="inlineStr">
        <is>
          <t>VÄSTRA GÖTALANDS LÄN</t>
        </is>
      </c>
      <c r="G99" t="inlineStr">
        <is>
          <t>TÖREBODA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46249</v>
      </c>
      <c r="F100" t="inlineStr">
        <is>
          <t>VÄSTRA GÖTALANDS LÄN</t>
        </is>
      </c>
      <c r="G100" t="inlineStr">
        <is>
          <t>TÖREBODA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46084</v>
      </c>
      <c r="E101" s="1" t="n">
        <v>46249</v>
      </c>
      <c r="F101" t="inlineStr">
        <is>
          <t>VÄSTRA GÖTALANDS LÄN</t>
        </is>
      </c>
      <c r="G101" t="inlineStr">
        <is>
          <t>TÖREBODA</t>
        </is>
      </c>
      <c r="H101" t="inlineStr">
        <is>
          <t>Kyrkan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11863-2026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46085</v>
      </c>
      <c r="E102" s="1" t="n">
        <v>46249</v>
      </c>
      <c r="F102" t="inlineStr">
        <is>
          <t>VÄSTRA GÖTALANDS LÄN</t>
        </is>
      </c>
      <c r="G102" t="inlineStr">
        <is>
          <t>TÖREBODA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44988</v>
      </c>
      <c r="E103" s="1" t="n">
        <v>46249</v>
      </c>
      <c r="F103" t="inlineStr">
        <is>
          <t>VÄSTRA GÖTALANDS LÄN</t>
        </is>
      </c>
      <c r="G103" t="inlineStr">
        <is>
          <t>TÖREBODA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45530</v>
      </c>
      <c r="E104" s="1" t="n">
        <v>46249</v>
      </c>
      <c r="F104" t="inlineStr">
        <is>
          <t>VÄSTRA GÖTALANDS LÄN</t>
        </is>
      </c>
      <c r="G104" t="inlineStr">
        <is>
          <t>TÖREBODA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46249</v>
      </c>
      <c r="F105" t="inlineStr">
        <is>
          <t>VÄSTRA GÖTALANDS LÄN</t>
        </is>
      </c>
      <c r="G105" t="inlineStr">
        <is>
          <t>TÖREBODA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44950</v>
      </c>
      <c r="E106" s="1" t="n">
        <v>46249</v>
      </c>
      <c r="F106" t="inlineStr">
        <is>
          <t>VÄSTRA GÖTALANDS LÄN</t>
        </is>
      </c>
      <c r="G106" t="inlineStr">
        <is>
          <t>TÖREBODA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62521-2022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44924</v>
      </c>
      <c r="E107" s="1" t="n">
        <v>46249</v>
      </c>
      <c r="F107" t="inlineStr">
        <is>
          <t>VÄSTRA GÖTALANDS LÄN</t>
        </is>
      </c>
      <c r="G107" t="inlineStr">
        <is>
          <t>TÖREBODA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46249</v>
      </c>
      <c r="F108" t="inlineStr">
        <is>
          <t>VÄSTRA GÖTALANDS LÄN</t>
        </is>
      </c>
      <c r="G108" t="inlineStr">
        <is>
          <t>TÖREBODA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46249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46249</v>
      </c>
      <c r="F110" t="inlineStr">
        <is>
          <t>VÄSTRA GÖTALANDS LÄN</t>
        </is>
      </c>
      <c r="G110" t="inlineStr">
        <is>
          <t>TÖREBODA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46249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46249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46249</v>
      </c>
      <c r="F113" t="inlineStr">
        <is>
          <t>VÄSTRA GÖTALANDS LÄN</t>
        </is>
      </c>
      <c r="G113" t="inlineStr">
        <is>
          <t>TÖREBODA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46249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33276-2023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45127</v>
      </c>
      <c r="E115" s="1" t="n">
        <v>46249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16007-2024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45405</v>
      </c>
      <c r="E116" s="1" t="n">
        <v>46249</v>
      </c>
      <c r="F116" t="inlineStr">
        <is>
          <t>VÄSTRA GÖTALANDS LÄN</t>
        </is>
      </c>
      <c r="G116" t="inlineStr">
        <is>
          <t>TÖREBODA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46249</v>
      </c>
      <c r="F117" t="inlineStr">
        <is>
          <t>VÄSTRA GÖTALANDS LÄN</t>
        </is>
      </c>
      <c r="G117" t="inlineStr">
        <is>
          <t>TÖREBODA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46249</v>
      </c>
      <c r="F118" t="inlineStr">
        <is>
          <t>VÄSTRA GÖTALANDS LÄN</t>
        </is>
      </c>
      <c r="G118" t="inlineStr">
        <is>
          <t>TÖREBODA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46100</v>
      </c>
      <c r="E119" s="1" t="n">
        <v>46249</v>
      </c>
      <c r="F119" t="inlineStr">
        <is>
          <t>VÄSTRA GÖTALANDS LÄN</t>
        </is>
      </c>
      <c r="G119" t="inlineStr">
        <is>
          <t>TÖREBODA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44740</v>
      </c>
      <c r="E120" s="1" t="n">
        <v>46249</v>
      </c>
      <c r="F120" t="inlineStr">
        <is>
          <t>VÄSTRA GÖTALANDS LÄN</t>
        </is>
      </c>
      <c r="G120" t="inlineStr">
        <is>
          <t>TÖREBODA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46249</v>
      </c>
      <c r="F121" t="inlineStr">
        <is>
          <t>VÄSTRA GÖTALANDS LÄN</t>
        </is>
      </c>
      <c r="G121" t="inlineStr">
        <is>
          <t>TÖREBODA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45651</v>
      </c>
      <c r="E122" s="1" t="n">
        <v>46249</v>
      </c>
      <c r="F122" t="inlineStr">
        <is>
          <t>VÄSTRA GÖTALANDS LÄN</t>
        </is>
      </c>
      <c r="G122" t="inlineStr">
        <is>
          <t>TÖREBODA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46249</v>
      </c>
      <c r="F123" t="inlineStr">
        <is>
          <t>VÄSTRA GÖTALANDS LÄN</t>
        </is>
      </c>
      <c r="G123" t="inlineStr">
        <is>
          <t>TÖREBODA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46249</v>
      </c>
      <c r="F124" t="inlineStr">
        <is>
          <t>VÄSTRA GÖTALANDS LÄN</t>
        </is>
      </c>
      <c r="G124" t="inlineStr">
        <is>
          <t>TÖREBODA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45485</v>
      </c>
      <c r="E125" s="1" t="n">
        <v>46249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46249</v>
      </c>
      <c r="F126" t="inlineStr">
        <is>
          <t>VÄSTRA GÖTALANDS LÄN</t>
        </is>
      </c>
      <c r="G126" t="inlineStr">
        <is>
          <t>TÖREBODA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46249</v>
      </c>
      <c r="F127" t="inlineStr">
        <is>
          <t>VÄSTRA GÖTALANDS LÄN</t>
        </is>
      </c>
      <c r="G127" t="inlineStr">
        <is>
          <t>TÖREBODA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45399</v>
      </c>
      <c r="E128" s="1" t="n">
        <v>46249</v>
      </c>
      <c r="F128" t="inlineStr">
        <is>
          <t>VÄSTRA GÖTALANDS LÄN</t>
        </is>
      </c>
      <c r="G128" t="inlineStr">
        <is>
          <t>TÖREBODA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48491-2022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46249</v>
      </c>
      <c r="F129" t="inlineStr">
        <is>
          <t>VÄSTRA GÖTALANDS LÄN</t>
        </is>
      </c>
      <c r="G129" t="inlineStr">
        <is>
          <t>TÖREBODA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46249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20210-2022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44698</v>
      </c>
      <c r="E131" s="1" t="n">
        <v>46249</v>
      </c>
      <c r="F131" t="inlineStr">
        <is>
          <t>VÄSTRA GÖTALANDS LÄN</t>
        </is>
      </c>
      <c r="G131" t="inlineStr">
        <is>
          <t>TÖREBODA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15567-2026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46106</v>
      </c>
      <c r="E132" s="1" t="n">
        <v>46249</v>
      </c>
      <c r="F132" t="inlineStr">
        <is>
          <t>VÄSTRA GÖTALANDS LÄN</t>
        </is>
      </c>
      <c r="G132" t="inlineStr">
        <is>
          <t>TÖREBODA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46249</v>
      </c>
      <c r="F133" t="inlineStr">
        <is>
          <t>VÄSTRA GÖTALANDS LÄN</t>
        </is>
      </c>
      <c r="G133" t="inlineStr">
        <is>
          <t>TÖREBODA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54016-2025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45961</v>
      </c>
      <c r="E134" s="1" t="n">
        <v>46249</v>
      </c>
      <c r="F134" t="inlineStr">
        <is>
          <t>VÄSTRA GÖTALANDS LÄN</t>
        </is>
      </c>
      <c r="G134" t="inlineStr">
        <is>
          <t>TÖREBODA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44923</v>
      </c>
      <c r="E135" s="1" t="n">
        <v>46249</v>
      </c>
      <c r="F135" t="inlineStr">
        <is>
          <t>VÄSTRA GÖTALANDS LÄN</t>
        </is>
      </c>
      <c r="G135" t="inlineStr">
        <is>
          <t>TÖREBODA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46249</v>
      </c>
      <c r="F136" t="inlineStr">
        <is>
          <t>VÄSTRA GÖTALANDS LÄN</t>
        </is>
      </c>
      <c r="G136" t="inlineStr">
        <is>
          <t>TÖREBODA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45579</v>
      </c>
      <c r="E137" s="1" t="n">
        <v>46249</v>
      </c>
      <c r="F137" t="inlineStr">
        <is>
          <t>VÄSTRA GÖTALANDS LÄN</t>
        </is>
      </c>
      <c r="G137" t="inlineStr">
        <is>
          <t>TÖREBODA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46249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45685</v>
      </c>
      <c r="E139" s="1" t="n">
        <v>46249</v>
      </c>
      <c r="F139" t="inlineStr">
        <is>
          <t>VÄSTRA GÖTALANDS LÄN</t>
        </is>
      </c>
      <c r="G139" t="inlineStr">
        <is>
          <t>TÖREBODA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55593-2025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45971</v>
      </c>
      <c r="E140" s="1" t="n">
        <v>46249</v>
      </c>
      <c r="F140" t="inlineStr">
        <is>
          <t>VÄSTRA GÖTALANDS LÄN</t>
        </is>
      </c>
      <c r="G140" t="inlineStr">
        <is>
          <t>TÖREBODA</t>
        </is>
      </c>
      <c r="I140" t="n">
        <v>20.8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46249</v>
      </c>
      <c r="F141" t="inlineStr">
        <is>
          <t>VÄSTRA GÖTALANDS LÄN</t>
        </is>
      </c>
      <c r="G141" t="inlineStr">
        <is>
          <t>TÖREBODA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46249</v>
      </c>
      <c r="F142" t="inlineStr">
        <is>
          <t>VÄSTRA GÖTALANDS LÄN</t>
        </is>
      </c>
      <c r="G142" t="inlineStr">
        <is>
          <t>TÖREBODA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45972</v>
      </c>
      <c r="E143" s="1" t="n">
        <v>46249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46249</v>
      </c>
      <c r="F144" t="inlineStr">
        <is>
          <t>VÄSTRA GÖTALANDS LÄN</t>
        </is>
      </c>
      <c r="G144" t="inlineStr">
        <is>
          <t>TÖREBODA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55766-2025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45972</v>
      </c>
      <c r="E145" s="1" t="n">
        <v>46249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46249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46249</v>
      </c>
      <c r="F147" t="inlineStr">
        <is>
          <t>VÄSTRA GÖTALANDS LÄN</t>
        </is>
      </c>
      <c r="G147" t="inlineStr">
        <is>
          <t>TÖREBODA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45268</v>
      </c>
      <c r="E148" s="1" t="n">
        <v>46249</v>
      </c>
      <c r="F148" t="inlineStr">
        <is>
          <t>VÄSTRA GÖTALANDS LÄN</t>
        </is>
      </c>
      <c r="G148" t="inlineStr">
        <is>
          <t>TÖREBODA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46122</v>
      </c>
      <c r="E149" s="1" t="n">
        <v>46249</v>
      </c>
      <c r="F149" t="inlineStr">
        <is>
          <t>VÄSTRA GÖTALANDS LÄN</t>
        </is>
      </c>
      <c r="G149" t="inlineStr">
        <is>
          <t>TÖREBODA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44951</v>
      </c>
      <c r="E150" s="1" t="n">
        <v>46249</v>
      </c>
      <c r="F150" t="inlineStr">
        <is>
          <t>VÄSTRA GÖTALANDS LÄN</t>
        </is>
      </c>
      <c r="G150" t="inlineStr">
        <is>
          <t>TÖREBODA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45328</v>
      </c>
      <c r="E151" s="1" t="n">
        <v>46249</v>
      </c>
      <c r="F151" t="inlineStr">
        <is>
          <t>VÄSTRA GÖTALANDS LÄN</t>
        </is>
      </c>
      <c r="G151" t="inlineStr">
        <is>
          <t>TÖREBODA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62363-2022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46249</v>
      </c>
      <c r="F152" t="inlineStr">
        <is>
          <t>VÄSTRA GÖTALANDS LÄN</t>
        </is>
      </c>
      <c r="G152" t="inlineStr">
        <is>
          <t>TÖREBODA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45344</v>
      </c>
      <c r="E153" s="1" t="n">
        <v>46249</v>
      </c>
      <c r="F153" t="inlineStr">
        <is>
          <t>VÄSTRA GÖTALANDS LÄN</t>
        </is>
      </c>
      <c r="G153" t="inlineStr">
        <is>
          <t>TÖREBODA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46249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45077</v>
      </c>
      <c r="E155" s="1" t="n">
        <v>46249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Aktiebolag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46249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46249</v>
      </c>
      <c r="F157" t="inlineStr">
        <is>
          <t>VÄSTRA GÖTALANDS LÄN</t>
        </is>
      </c>
      <c r="G157" t="inlineStr">
        <is>
          <t>TÖREBODA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44987</v>
      </c>
      <c r="E158" s="1" t="n">
        <v>46249</v>
      </c>
      <c r="F158" t="inlineStr">
        <is>
          <t>VÄSTRA GÖTALANDS LÄN</t>
        </is>
      </c>
      <c r="G158" t="inlineStr">
        <is>
          <t>TÖREBODA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46249</v>
      </c>
      <c r="F159" t="inlineStr">
        <is>
          <t>VÄSTRA GÖTALANDS LÄN</t>
        </is>
      </c>
      <c r="G159" t="inlineStr">
        <is>
          <t>TÖREBODA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46249</v>
      </c>
      <c r="F160" t="inlineStr">
        <is>
          <t>VÄSTRA GÖTALANDS LÄN</t>
        </is>
      </c>
      <c r="G160" t="inlineStr">
        <is>
          <t>TÖREBODA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46249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Kyrkan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45627</v>
      </c>
      <c r="E162" s="1" t="n">
        <v>46249</v>
      </c>
      <c r="F162" t="inlineStr">
        <is>
          <t>VÄSTRA GÖTALANDS LÄN</t>
        </is>
      </c>
      <c r="G162" t="inlineStr">
        <is>
          <t>TÖREBODA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19706-2026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46134</v>
      </c>
      <c r="E163" s="1" t="n">
        <v>46249</v>
      </c>
      <c r="F163" t="inlineStr">
        <is>
          <t>VÄSTRA GÖTALANDS LÄN</t>
        </is>
      </c>
      <c r="G163" t="inlineStr">
        <is>
          <t>TÖREBODA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46249</v>
      </c>
      <c r="F164" t="inlineStr">
        <is>
          <t>VÄSTRA GÖTALANDS LÄN</t>
        </is>
      </c>
      <c r="G164" t="inlineStr">
        <is>
          <t>TÖREBODA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62980-2025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46009</v>
      </c>
      <c r="E165" s="1" t="n">
        <v>46249</v>
      </c>
      <c r="F165" t="inlineStr">
        <is>
          <t>VÄSTRA GÖTALANDS LÄN</t>
        </is>
      </c>
      <c r="G165" t="inlineStr">
        <is>
          <t>TÖREBODA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45664</v>
      </c>
      <c r="E166" s="1" t="n">
        <v>46249</v>
      </c>
      <c r="F166" t="inlineStr">
        <is>
          <t>VÄSTRA GÖTALANDS LÄN</t>
        </is>
      </c>
      <c r="G166" t="inlineStr">
        <is>
          <t>TÖREBODA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45664</v>
      </c>
      <c r="E167" s="1" t="n">
        <v>46249</v>
      </c>
      <c r="F167" t="inlineStr">
        <is>
          <t>VÄSTRA GÖTALANDS LÄN</t>
        </is>
      </c>
      <c r="G167" t="inlineStr">
        <is>
          <t>TÖREBODA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46249</v>
      </c>
      <c r="F168" t="inlineStr">
        <is>
          <t>VÄSTRA GÖTALANDS LÄN</t>
        </is>
      </c>
      <c r="G168" t="inlineStr">
        <is>
          <t>TÖREBODA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45750</v>
      </c>
      <c r="E169" s="1" t="n">
        <v>46249</v>
      </c>
      <c r="F169" t="inlineStr">
        <is>
          <t>VÄSTRA GÖTALANDS LÄN</t>
        </is>
      </c>
      <c r="G169" t="inlineStr">
        <is>
          <t>TÖREBODA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46249</v>
      </c>
      <c r="F170" t="inlineStr">
        <is>
          <t>VÄSTRA GÖTALANDS LÄN</t>
        </is>
      </c>
      <c r="G170" t="inlineStr">
        <is>
          <t>TÖREBODA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46249</v>
      </c>
      <c r="F171" t="inlineStr">
        <is>
          <t>VÄSTRA GÖTALANDS LÄN</t>
        </is>
      </c>
      <c r="G171" t="inlineStr">
        <is>
          <t>TÖREBODA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46249</v>
      </c>
      <c r="F172" t="inlineStr">
        <is>
          <t>VÄSTRA GÖTALANDS LÄN</t>
        </is>
      </c>
      <c r="G172" t="inlineStr">
        <is>
          <t>TÖREBODA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46249</v>
      </c>
      <c r="F173" t="inlineStr">
        <is>
          <t>VÄSTRA GÖTALANDS LÄN</t>
        </is>
      </c>
      <c r="G173" t="inlineStr">
        <is>
          <t>TÖREBODA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6442-2025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45699</v>
      </c>
      <c r="E174" s="1" t="n">
        <v>46249</v>
      </c>
      <c r="F174" t="inlineStr">
        <is>
          <t>VÄSTRA GÖTALANDS LÄN</t>
        </is>
      </c>
      <c r="G174" t="inlineStr">
        <is>
          <t>TÖREBODA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32463-2022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44782</v>
      </c>
      <c r="E175" s="1" t="n">
        <v>46249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44937</v>
      </c>
      <c r="E176" s="1" t="n">
        <v>46249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Övriga statliga verk och myndigheter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46249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44756</v>
      </c>
      <c r="E178" s="1" t="n">
        <v>46249</v>
      </c>
      <c r="F178" t="inlineStr">
        <is>
          <t>VÄSTRA GÖTALANDS LÄN</t>
        </is>
      </c>
      <c r="G178" t="inlineStr">
        <is>
          <t>TÖREBODA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44972</v>
      </c>
      <c r="E179" s="1" t="n">
        <v>46249</v>
      </c>
      <c r="F179" t="inlineStr">
        <is>
          <t>VÄSTRA GÖTALANDS LÄN</t>
        </is>
      </c>
      <c r="G179" t="inlineStr">
        <is>
          <t>TÖREBODA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46249</v>
      </c>
      <c r="F180" t="inlineStr">
        <is>
          <t>VÄSTRA GÖTALANDS LÄN</t>
        </is>
      </c>
      <c r="G180" t="inlineStr">
        <is>
          <t>TÖREBODA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45142</v>
      </c>
      <c r="E181" s="1" t="n">
        <v>46249</v>
      </c>
      <c r="F181" t="inlineStr">
        <is>
          <t>VÄSTRA GÖTALANDS LÄN</t>
        </is>
      </c>
      <c r="G181" t="inlineStr">
        <is>
          <t>TÖREBODA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45699</v>
      </c>
      <c r="E182" s="1" t="n">
        <v>46249</v>
      </c>
      <c r="F182" t="inlineStr">
        <is>
          <t>VÄSTRA GÖTALANDS LÄN</t>
        </is>
      </c>
      <c r="G182" t="inlineStr">
        <is>
          <t>TÖREBODA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46249</v>
      </c>
      <c r="F183" t="inlineStr">
        <is>
          <t>VÄSTRA GÖTALANDS LÄN</t>
        </is>
      </c>
      <c r="G183" t="inlineStr">
        <is>
          <t>TÖREBODA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45349</v>
      </c>
      <c r="E184" s="1" t="n">
        <v>46249</v>
      </c>
      <c r="F184" t="inlineStr">
        <is>
          <t>VÄSTRA GÖTALANDS LÄN</t>
        </is>
      </c>
      <c r="G184" t="inlineStr">
        <is>
          <t>TÖREBODA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44987</v>
      </c>
      <c r="E185" s="1" t="n">
        <v>46249</v>
      </c>
      <c r="F185" t="inlineStr">
        <is>
          <t>VÄSTRA GÖTALANDS LÄN</t>
        </is>
      </c>
      <c r="G185" t="inlineStr">
        <is>
          <t>TÖREBODA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44987</v>
      </c>
      <c r="E186" s="1" t="n">
        <v>46249</v>
      </c>
      <c r="F186" t="inlineStr">
        <is>
          <t>VÄSTRA GÖTALANDS LÄN</t>
        </is>
      </c>
      <c r="G186" t="inlineStr">
        <is>
          <t>TÖREBODA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46249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44956</v>
      </c>
      <c r="E188" s="1" t="n">
        <v>46249</v>
      </c>
      <c r="F188" t="inlineStr">
        <is>
          <t>VÄSTRA GÖTALANDS LÄN</t>
        </is>
      </c>
      <c r="G188" t="inlineStr">
        <is>
          <t>TÖREBODA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44792</v>
      </c>
      <c r="E189" s="1" t="n">
        <v>46249</v>
      </c>
      <c r="F189" t="inlineStr">
        <is>
          <t>VÄSTRA GÖTALANDS LÄN</t>
        </is>
      </c>
      <c r="G189" t="inlineStr">
        <is>
          <t>TÖREBODA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46249</v>
      </c>
      <c r="F190" t="inlineStr">
        <is>
          <t>VÄSTRA GÖTALANDS LÄN</t>
        </is>
      </c>
      <c r="G190" t="inlineStr">
        <is>
          <t>TÖREBODA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45324</v>
      </c>
      <c r="E191" s="1" t="n">
        <v>46249</v>
      </c>
      <c r="F191" t="inlineStr">
        <is>
          <t>VÄSTRA GÖTALANDS LÄN</t>
        </is>
      </c>
      <c r="G191" t="inlineStr">
        <is>
          <t>TÖREBODA</t>
        </is>
      </c>
      <c r="I191" t="n">
        <v>28.9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45322</v>
      </c>
      <c r="E192" s="1" t="n">
        <v>46249</v>
      </c>
      <c r="F192" t="inlineStr">
        <is>
          <t>VÄSTRA GÖTALANDS LÄN</t>
        </is>
      </c>
      <c r="G192" t="inlineStr">
        <is>
          <t>TÖREBODA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45056</v>
      </c>
      <c r="E193" s="1" t="n">
        <v>46249</v>
      </c>
      <c r="F193" t="inlineStr">
        <is>
          <t>VÄSTRA GÖTALANDS LÄN</t>
        </is>
      </c>
      <c r="G193" t="inlineStr">
        <is>
          <t>TÖREBODA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44741</v>
      </c>
      <c r="E194" s="1" t="n">
        <v>46249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46249</v>
      </c>
      <c r="F195" t="inlineStr">
        <is>
          <t>VÄSTRA GÖTALANDS LÄN</t>
        </is>
      </c>
      <c r="G195" t="inlineStr">
        <is>
          <t>TÖREBODA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56831-2022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44894</v>
      </c>
      <c r="E196" s="1" t="n">
        <v>46249</v>
      </c>
      <c r="F196" t="inlineStr">
        <is>
          <t>VÄSTRA GÖTALANDS LÄN</t>
        </is>
      </c>
      <c r="G196" t="inlineStr">
        <is>
          <t>TÖREBODA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46249</v>
      </c>
      <c r="F197" t="inlineStr">
        <is>
          <t>VÄSTRA GÖTALANDS LÄN</t>
        </is>
      </c>
      <c r="G197" t="inlineStr">
        <is>
          <t>TÖREBODA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46249</v>
      </c>
      <c r="F198" t="inlineStr">
        <is>
          <t>VÄSTRA GÖTALANDS LÄN</t>
        </is>
      </c>
      <c r="G198" t="inlineStr">
        <is>
          <t>TÖREBODA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46249</v>
      </c>
      <c r="F199" t="inlineStr">
        <is>
          <t>VÄSTRA GÖTALANDS LÄN</t>
        </is>
      </c>
      <c r="G199" t="inlineStr">
        <is>
          <t>TÖREBODA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46249</v>
      </c>
      <c r="F200" t="inlineStr">
        <is>
          <t>VÄSTRA GÖTALANDS LÄN</t>
        </is>
      </c>
      <c r="G200" t="inlineStr">
        <is>
          <t>TÖREBODA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46249</v>
      </c>
      <c r="F201" t="inlineStr">
        <is>
          <t>VÄSTRA GÖTALANDS LÄN</t>
        </is>
      </c>
      <c r="G201" t="inlineStr">
        <is>
          <t>TÖREBODA</t>
        </is>
      </c>
      <c r="I201" t="n">
        <v>49.4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62542-2022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44924</v>
      </c>
      <c r="E202" s="1" t="n">
        <v>46249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46249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45754</v>
      </c>
      <c r="E204" s="1" t="n">
        <v>46249</v>
      </c>
      <c r="F204" t="inlineStr">
        <is>
          <t>VÄSTRA GÖTALANDS LÄN</t>
        </is>
      </c>
      <c r="G204" t="inlineStr">
        <is>
          <t>TÖREBODA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46249</v>
      </c>
      <c r="F205" t="inlineStr">
        <is>
          <t>VÄSTRA GÖTALANDS LÄN</t>
        </is>
      </c>
      <c r="G205" t="inlineStr">
        <is>
          <t>TÖREBODA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46249</v>
      </c>
      <c r="F206" t="inlineStr">
        <is>
          <t>VÄSTRA GÖTALANDS LÄN</t>
        </is>
      </c>
      <c r="G206" t="inlineStr">
        <is>
          <t>TÖREBODA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46249</v>
      </c>
      <c r="F207" t="inlineStr">
        <is>
          <t>VÄSTRA GÖTALANDS LÄN</t>
        </is>
      </c>
      <c r="G207" t="inlineStr">
        <is>
          <t>TÖREBODA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46249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41627-2022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44827</v>
      </c>
      <c r="E209" s="1" t="n">
        <v>46249</v>
      </c>
      <c r="F209" t="inlineStr">
        <is>
          <t>VÄSTRA GÖTALANDS LÄN</t>
        </is>
      </c>
      <c r="G209" t="inlineStr">
        <is>
          <t>TÖREBODA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41632-2022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44827</v>
      </c>
      <c r="E210" s="1" t="n">
        <v>46249</v>
      </c>
      <c r="F210" t="inlineStr">
        <is>
          <t>VÄSTRA GÖTALANDS LÄN</t>
        </is>
      </c>
      <c r="G210" t="inlineStr">
        <is>
          <t>TÖREBODA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46249</v>
      </c>
      <c r="F211" t="inlineStr">
        <is>
          <t>VÄSTRA GÖTALANDS LÄN</t>
        </is>
      </c>
      <c r="G211" t="inlineStr">
        <is>
          <t>TÖREBODA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45552</v>
      </c>
      <c r="E212" s="1" t="n">
        <v>46249</v>
      </c>
      <c r="F212" t="inlineStr">
        <is>
          <t>VÄSTRA GÖTALANDS LÄN</t>
        </is>
      </c>
      <c r="G212" t="inlineStr">
        <is>
          <t>TÖREBODA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46078</v>
      </c>
      <c r="E213" s="1" t="n">
        <v>46249</v>
      </c>
      <c r="F213" t="inlineStr">
        <is>
          <t>VÄSTRA GÖTALANDS LÄN</t>
        </is>
      </c>
      <c r="G213" t="inlineStr">
        <is>
          <t>TÖREBODA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44890</v>
      </c>
      <c r="E214" s="1" t="n">
        <v>46249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Övriga statliga verk och myndigheter</t>
        </is>
      </c>
      <c r="I214" t="n">
        <v>12.6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46249</v>
      </c>
      <c r="F215" t="inlineStr">
        <is>
          <t>VÄSTRA GÖTALANDS LÄN</t>
        </is>
      </c>
      <c r="G215" t="inlineStr">
        <is>
          <t>TÖREBODA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46249</v>
      </c>
      <c r="F216" t="inlineStr">
        <is>
          <t>VÄSTRA GÖTALANDS LÄN</t>
        </is>
      </c>
      <c r="G216" t="inlineStr">
        <is>
          <t>TÖREBODA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46249</v>
      </c>
      <c r="F217" t="inlineStr">
        <is>
          <t>VÄSTRA GÖTALANDS LÄN</t>
        </is>
      </c>
      <c r="G217" t="inlineStr">
        <is>
          <t>TÖREBODA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45552</v>
      </c>
      <c r="E218" s="1" t="n">
        <v>46249</v>
      </c>
      <c r="F218" t="inlineStr">
        <is>
          <t>VÄSTRA GÖTALANDS LÄN</t>
        </is>
      </c>
      <c r="G218" t="inlineStr">
        <is>
          <t>TÖREBODA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46249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63113-2023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45273</v>
      </c>
      <c r="E220" s="1" t="n">
        <v>46249</v>
      </c>
      <c r="F220" t="inlineStr">
        <is>
          <t>VÄSTRA GÖTALANDS LÄN</t>
        </is>
      </c>
      <c r="G220" t="inlineStr">
        <is>
          <t>TÖREBODA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45450</v>
      </c>
      <c r="E221" s="1" t="n">
        <v>46249</v>
      </c>
      <c r="F221" t="inlineStr">
        <is>
          <t>VÄSTRA GÖTALANDS LÄN</t>
        </is>
      </c>
      <c r="G221" t="inlineStr">
        <is>
          <t>TÖREBODA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45350</v>
      </c>
      <c r="E222" s="1" t="n">
        <v>46249</v>
      </c>
      <c r="F222" t="inlineStr">
        <is>
          <t>VÄSTRA GÖTALANDS LÄN</t>
        </is>
      </c>
      <c r="G222" t="inlineStr">
        <is>
          <t>TÖREBODA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46152</v>
      </c>
      <c r="E223" s="1" t="n">
        <v>46249</v>
      </c>
      <c r="F223" t="inlineStr">
        <is>
          <t>VÄSTRA GÖTALANDS LÄN</t>
        </is>
      </c>
      <c r="G223" t="inlineStr">
        <is>
          <t>TÖREBODA</t>
        </is>
      </c>
      <c r="I223" t="n">
        <v>8.6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46152</v>
      </c>
      <c r="E224" s="1" t="n">
        <v>46249</v>
      </c>
      <c r="F224" t="inlineStr">
        <is>
          <t>VÄSTRA GÖTALANDS LÄN</t>
        </is>
      </c>
      <c r="G224" t="inlineStr">
        <is>
          <t>TÖREBODA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46152</v>
      </c>
      <c r="E225" s="1" t="n">
        <v>46249</v>
      </c>
      <c r="F225" t="inlineStr">
        <is>
          <t>VÄSTRA GÖTALANDS LÄN</t>
        </is>
      </c>
      <c r="G225" t="inlineStr">
        <is>
          <t>TÖREBODA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45384</v>
      </c>
      <c r="E226" s="1" t="n">
        <v>46249</v>
      </c>
      <c r="F226" t="inlineStr">
        <is>
          <t>VÄSTRA GÖTALANDS LÄN</t>
        </is>
      </c>
      <c r="G226" t="inlineStr">
        <is>
          <t>TÖREBODA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45245</v>
      </c>
      <c r="E227" s="1" t="n">
        <v>46249</v>
      </c>
      <c r="F227" t="inlineStr">
        <is>
          <t>VÄSTRA GÖTALANDS LÄN</t>
        </is>
      </c>
      <c r="G227" t="inlineStr">
        <is>
          <t>TÖREBODA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45531</v>
      </c>
      <c r="E228" s="1" t="n">
        <v>46249</v>
      </c>
      <c r="F228" t="inlineStr">
        <is>
          <t>VÄSTRA GÖTALANDS LÄN</t>
        </is>
      </c>
      <c r="G228" t="inlineStr">
        <is>
          <t>TÖREBODA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46152</v>
      </c>
      <c r="E229" s="1" t="n">
        <v>46249</v>
      </c>
      <c r="F229" t="inlineStr">
        <is>
          <t>VÄSTRA GÖTALANDS LÄN</t>
        </is>
      </c>
      <c r="G229" t="inlineStr">
        <is>
          <t>TÖREBODA</t>
        </is>
      </c>
      <c r="I229" t="n">
        <v>8.699999999999999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46152</v>
      </c>
      <c r="E230" s="1" t="n">
        <v>46249</v>
      </c>
      <c r="F230" t="inlineStr">
        <is>
          <t>VÄSTRA GÖTALANDS LÄN</t>
        </is>
      </c>
      <c r="G230" t="inlineStr">
        <is>
          <t>TÖREBODA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46249</v>
      </c>
      <c r="F231" t="inlineStr">
        <is>
          <t>VÄSTRA GÖTALANDS LÄN</t>
        </is>
      </c>
      <c r="G231" t="inlineStr">
        <is>
          <t>TÖREBODA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46152</v>
      </c>
      <c r="E232" s="1" t="n">
        <v>46249</v>
      </c>
      <c r="F232" t="inlineStr">
        <is>
          <t>VÄSTRA GÖTALANDS LÄN</t>
        </is>
      </c>
      <c r="G232" t="inlineStr">
        <is>
          <t>TÖREBODA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46152</v>
      </c>
      <c r="E233" s="1" t="n">
        <v>46249</v>
      </c>
      <c r="F233" t="inlineStr">
        <is>
          <t>VÄSTRA GÖTALANDS LÄN</t>
        </is>
      </c>
      <c r="G233" t="inlineStr">
        <is>
          <t>TÖREBODA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46152</v>
      </c>
      <c r="E234" s="1" t="n">
        <v>46249</v>
      </c>
      <c r="F234" t="inlineStr">
        <is>
          <t>VÄSTRA GÖTALANDS LÄN</t>
        </is>
      </c>
      <c r="G234" t="inlineStr">
        <is>
          <t>TÖREBODA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46249</v>
      </c>
      <c r="F235" t="inlineStr">
        <is>
          <t>VÄSTRA GÖTALANDS LÄN</t>
        </is>
      </c>
      <c r="G235" t="inlineStr">
        <is>
          <t>TÖREBODA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46249</v>
      </c>
      <c r="F236" t="inlineStr">
        <is>
          <t>VÄSTRA GÖTALANDS LÄN</t>
        </is>
      </c>
      <c r="G236" t="inlineStr">
        <is>
          <t>TÖREBODA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46249</v>
      </c>
      <c r="F237" t="inlineStr">
        <is>
          <t>VÄSTRA GÖTALANDS LÄN</t>
        </is>
      </c>
      <c r="G237" t="inlineStr">
        <is>
          <t>TÖREBODA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45142</v>
      </c>
      <c r="E238" s="1" t="n">
        <v>46249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46249</v>
      </c>
      <c r="F239" t="inlineStr">
        <is>
          <t>VÄSTRA GÖTALANDS LÄN</t>
        </is>
      </c>
      <c r="G239" t="inlineStr">
        <is>
          <t>TÖREBODA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46249</v>
      </c>
      <c r="F240" t="inlineStr">
        <is>
          <t>VÄSTRA GÖTALANDS LÄN</t>
        </is>
      </c>
      <c r="G240" t="inlineStr">
        <is>
          <t>TÖREBODA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46249</v>
      </c>
      <c r="F241" t="inlineStr">
        <is>
          <t>VÄSTRA GÖTALANDS LÄN</t>
        </is>
      </c>
      <c r="G241" t="inlineStr">
        <is>
          <t>TÖREBODA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46249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33754-2023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45133</v>
      </c>
      <c r="E243" s="1" t="n">
        <v>46249</v>
      </c>
      <c r="F243" t="inlineStr">
        <is>
          <t>VÄSTRA GÖTALANDS LÄN</t>
        </is>
      </c>
      <c r="G243" t="inlineStr">
        <is>
          <t>TÖREBODA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46249</v>
      </c>
      <c r="F244" t="inlineStr">
        <is>
          <t>VÄSTRA GÖTALANDS LÄN</t>
        </is>
      </c>
      <c r="G244" t="inlineStr">
        <is>
          <t>TÖREBODA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46168</v>
      </c>
      <c r="E245" s="1" t="n">
        <v>46249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46249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46249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11730-2025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45727</v>
      </c>
      <c r="E248" s="1" t="n">
        <v>46249</v>
      </c>
      <c r="F248" t="inlineStr">
        <is>
          <t>VÄSTRA GÖTALANDS LÄN</t>
        </is>
      </c>
      <c r="G248" t="inlineStr">
        <is>
          <t>TÖREBODA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45713</v>
      </c>
      <c r="E249" s="1" t="n">
        <v>46249</v>
      </c>
      <c r="F249" t="inlineStr">
        <is>
          <t>VÄSTRA GÖTALANDS LÄN</t>
        </is>
      </c>
      <c r="G249" t="inlineStr">
        <is>
          <t>TÖREBODA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46249</v>
      </c>
      <c r="F250" t="inlineStr">
        <is>
          <t>VÄSTRA GÖTALANDS LÄN</t>
        </is>
      </c>
      <c r="G250" t="inlineStr">
        <is>
          <t>TÖREBODA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45637</v>
      </c>
      <c r="E251" s="1" t="n">
        <v>46249</v>
      </c>
      <c r="F251" t="inlineStr">
        <is>
          <t>VÄSTRA GÖTALANDS LÄN</t>
        </is>
      </c>
      <c r="G251" t="inlineStr">
        <is>
          <t>TÖREBODA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46249</v>
      </c>
      <c r="F252" t="inlineStr">
        <is>
          <t>VÄSTRA GÖTALANDS LÄN</t>
        </is>
      </c>
      <c r="G252" t="inlineStr">
        <is>
          <t>TÖREBODA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46249</v>
      </c>
      <c r="F253" t="inlineStr">
        <is>
          <t>VÄSTRA GÖTALANDS LÄN</t>
        </is>
      </c>
      <c r="G253" t="inlineStr">
        <is>
          <t>TÖREBODA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45556</v>
      </c>
      <c r="E254" s="1" t="n">
        <v>46249</v>
      </c>
      <c r="F254" t="inlineStr">
        <is>
          <t>VÄSTRA GÖTALANDS LÄN</t>
        </is>
      </c>
      <c r="G254" t="inlineStr">
        <is>
          <t>TÖREBODA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46249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Övriga statliga verk och myndigheter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46249</v>
      </c>
      <c r="F256" t="inlineStr">
        <is>
          <t>VÄSTRA GÖTALANDS LÄN</t>
        </is>
      </c>
      <c r="G256" t="inlineStr">
        <is>
          <t>TÖREBODA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46249</v>
      </c>
      <c r="F257" t="inlineStr">
        <is>
          <t>VÄSTRA GÖTALANDS LÄN</t>
        </is>
      </c>
      <c r="G257" t="inlineStr">
        <is>
          <t>TÖREBODA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58006-2024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45631</v>
      </c>
      <c r="E258" s="1" t="n">
        <v>46249</v>
      </c>
      <c r="F258" t="inlineStr">
        <is>
          <t>VÄSTRA GÖTALANDS LÄN</t>
        </is>
      </c>
      <c r="G258" t="inlineStr">
        <is>
          <t>TÖREBODA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46249</v>
      </c>
      <c r="F259" t="inlineStr">
        <is>
          <t>VÄSTRA GÖTALANDS LÄN</t>
        </is>
      </c>
      <c r="G259" t="inlineStr">
        <is>
          <t>TÖREBODA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45439</v>
      </c>
      <c r="E260" s="1" t="n">
        <v>46249</v>
      </c>
      <c r="F260" t="inlineStr">
        <is>
          <t>VÄSTRA GÖTALANDS LÄN</t>
        </is>
      </c>
      <c r="G260" t="inlineStr">
        <is>
          <t>TÖREBODA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46249</v>
      </c>
      <c r="F261" t="inlineStr">
        <is>
          <t>VÄSTRA GÖTALANDS LÄN</t>
        </is>
      </c>
      <c r="G261" t="inlineStr">
        <is>
          <t>TÖREBODA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46249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Kyrkan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48969-2023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46249</v>
      </c>
      <c r="F263" t="inlineStr">
        <is>
          <t>VÄSTRA GÖTALANDS LÄN</t>
        </is>
      </c>
      <c r="G263" t="inlineStr">
        <is>
          <t>TÖREBODA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45493</v>
      </c>
      <c r="E264" s="1" t="n">
        <v>46249</v>
      </c>
      <c r="F264" t="inlineStr">
        <is>
          <t>VÄSTRA GÖTALANDS LÄN</t>
        </is>
      </c>
      <c r="G264" t="inlineStr">
        <is>
          <t>TÖREBODA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45457</v>
      </c>
      <c r="E265" s="1" t="n">
        <v>46249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43559-2024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45569</v>
      </c>
      <c r="E266" s="1" t="n">
        <v>46249</v>
      </c>
      <c r="F266" t="inlineStr">
        <is>
          <t>VÄSTRA GÖTALANDS LÄN</t>
        </is>
      </c>
      <c r="G266" t="inlineStr">
        <is>
          <t>TÖREBODA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45552</v>
      </c>
      <c r="E267" s="1" t="n">
        <v>46249</v>
      </c>
      <c r="F267" t="inlineStr">
        <is>
          <t>VÄSTRA GÖTALANDS LÄN</t>
        </is>
      </c>
      <c r="G267" t="inlineStr">
        <is>
          <t>TÖREBODA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45627</v>
      </c>
      <c r="E268" s="1" t="n">
        <v>46249</v>
      </c>
      <c r="F268" t="inlineStr">
        <is>
          <t>VÄSTRA GÖTALANDS LÄN</t>
        </is>
      </c>
      <c r="G268" t="inlineStr">
        <is>
          <t>TÖREBODA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46249</v>
      </c>
      <c r="F269" t="inlineStr">
        <is>
          <t>VÄSTRA GÖTALANDS LÄN</t>
        </is>
      </c>
      <c r="G269" t="inlineStr">
        <is>
          <t>TÖREBODA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46249</v>
      </c>
      <c r="F270" t="inlineStr">
        <is>
          <t>VÄSTRA GÖTALANDS LÄN</t>
        </is>
      </c>
      <c r="G270" t="inlineStr">
        <is>
          <t>TÖREBODA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15947-2022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44664</v>
      </c>
      <c r="E271" s="1" t="n">
        <v>46249</v>
      </c>
      <c r="F271" t="inlineStr">
        <is>
          <t>VÄSTRA GÖTALANDS LÄN</t>
        </is>
      </c>
      <c r="G271" t="inlineStr">
        <is>
          <t>TÖREBODA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45145</v>
      </c>
      <c r="E272" s="1" t="n">
        <v>46249</v>
      </c>
      <c r="F272" t="inlineStr">
        <is>
          <t>VÄSTRA GÖTALANDS LÄN</t>
        </is>
      </c>
      <c r="G272" t="inlineStr">
        <is>
          <t>TÖREBODA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45328</v>
      </c>
      <c r="E273" s="1" t="n">
        <v>46249</v>
      </c>
      <c r="F273" t="inlineStr">
        <is>
          <t>VÄSTRA GÖTALANDS LÄN</t>
        </is>
      </c>
      <c r="G273" t="inlineStr">
        <is>
          <t>TÖREBODA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44937</v>
      </c>
      <c r="E274" s="1" t="n">
        <v>46249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Övriga statliga verk och myndigheter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46249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Aktiebolag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46249</v>
      </c>
      <c r="F276" t="inlineStr">
        <is>
          <t>VÄSTRA GÖTALANDS LÄN</t>
        </is>
      </c>
      <c r="G276" t="inlineStr">
        <is>
          <t>TÖREBODA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26941-2025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45811</v>
      </c>
      <c r="E277" s="1" t="n">
        <v>46249</v>
      </c>
      <c r="F277" t="inlineStr">
        <is>
          <t>VÄSTRA GÖTALANDS LÄN</t>
        </is>
      </c>
      <c r="G277" t="inlineStr">
        <is>
          <t>TÖREBODA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46249</v>
      </c>
      <c r="F278" t="inlineStr">
        <is>
          <t>VÄSTRA GÖTALANDS LÄN</t>
        </is>
      </c>
      <c r="G278" t="inlineStr">
        <is>
          <t>TÖREBODA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43561-2024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45569</v>
      </c>
      <c r="E279" s="1" t="n">
        <v>46249</v>
      </c>
      <c r="F279" t="inlineStr">
        <is>
          <t>VÄSTRA GÖTALANDS LÄN</t>
        </is>
      </c>
      <c r="G279" t="inlineStr">
        <is>
          <t>TÖREBODA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18741-2025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45763</v>
      </c>
      <c r="E280" s="1" t="n">
        <v>46249</v>
      </c>
      <c r="F280" t="inlineStr">
        <is>
          <t>VÄSTRA GÖTALANDS LÄN</t>
        </is>
      </c>
      <c r="G280" t="inlineStr">
        <is>
          <t>TÖREBODA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45607</v>
      </c>
      <c r="E281" s="1" t="n">
        <v>46249</v>
      </c>
      <c r="F281" t="inlineStr">
        <is>
          <t>VÄSTRA GÖTALANDS LÄN</t>
        </is>
      </c>
      <c r="G281" t="inlineStr">
        <is>
          <t>TÖREBODA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46231</v>
      </c>
      <c r="E282" s="1" t="n">
        <v>46249</v>
      </c>
      <c r="F282" t="inlineStr">
        <is>
          <t>VÄSTRA GÖTALANDS LÄN</t>
        </is>
      </c>
      <c r="G282" t="inlineStr">
        <is>
          <t>TÖREBODA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46249</v>
      </c>
      <c r="F283" t="inlineStr">
        <is>
          <t>VÄSTRA GÖTALANDS LÄN</t>
        </is>
      </c>
      <c r="G283" t="inlineStr">
        <is>
          <t>TÖREBODA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45236</v>
      </c>
      <c r="E284" s="1" t="n">
        <v>46249</v>
      </c>
      <c r="F284" t="inlineStr">
        <is>
          <t>VÄSTRA GÖTALANDS LÄN</t>
        </is>
      </c>
      <c r="G284" t="inlineStr">
        <is>
          <t>TÖREBODA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44697</v>
      </c>
      <c r="E285" s="1" t="n">
        <v>46249</v>
      </c>
      <c r="F285" t="inlineStr">
        <is>
          <t>VÄSTRA GÖTALANDS LÄN</t>
        </is>
      </c>
      <c r="G285" t="inlineStr">
        <is>
          <t>TÖREBODA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37837-2023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45156</v>
      </c>
      <c r="E286" s="1" t="n">
        <v>46249</v>
      </c>
      <c r="F286" t="inlineStr">
        <is>
          <t>VÄSTRA GÖTALANDS LÄN</t>
        </is>
      </c>
      <c r="G286" t="inlineStr">
        <is>
          <t>TÖREBODA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45531</v>
      </c>
      <c r="E287" s="1" t="n">
        <v>46249</v>
      </c>
      <c r="F287" t="inlineStr">
        <is>
          <t>VÄSTRA GÖTALANDS LÄN</t>
        </is>
      </c>
      <c r="G287" t="inlineStr">
        <is>
          <t>TÖREBODA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32155-2025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46249</v>
      </c>
      <c r="F288" t="inlineStr">
        <is>
          <t>VÄSTRA GÖTALANDS LÄN</t>
        </is>
      </c>
      <c r="G288" t="inlineStr">
        <is>
          <t>TÖREBODA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46249</v>
      </c>
      <c r="F289" t="inlineStr">
        <is>
          <t>VÄSTRA GÖTALANDS LÄN</t>
        </is>
      </c>
      <c r="G289" t="inlineStr">
        <is>
          <t>TÖREBODA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33316-2025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46249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Övriga statliga verk och myndigheter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45841</v>
      </c>
      <c r="E291" s="1" t="n">
        <v>46249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Övriga statliga verk och myndigheter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46249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Övriga statliga verk och myndigheter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46249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Övriga statliga verk och myndigheter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46249</v>
      </c>
      <c r="F294" t="inlineStr">
        <is>
          <t>VÄSTRA GÖTALANDS LÄN</t>
        </is>
      </c>
      <c r="G294" t="inlineStr">
        <is>
          <t>TÖREBODA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45841</v>
      </c>
      <c r="E295" s="1" t="n">
        <v>46249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Övriga statliga verk och myndigheter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46249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Övriga statliga verk och myndigheter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46249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Övriga statliga verk och myndigheter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46249</v>
      </c>
      <c r="F298" t="inlineStr">
        <is>
          <t>VÄSTRA GÖTALANDS LÄN</t>
        </is>
      </c>
      <c r="G298" t="inlineStr">
        <is>
          <t>TÖREBODA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46249</v>
      </c>
      <c r="F299" t="inlineStr">
        <is>
          <t>VÄSTRA GÖTALANDS LÄN</t>
        </is>
      </c>
      <c r="G299" t="inlineStr">
        <is>
          <t>TÖREBODA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45764</v>
      </c>
      <c r="E300" s="1" t="n">
        <v>46249</v>
      </c>
      <c r="F300" t="inlineStr">
        <is>
          <t>VÄSTRA GÖTALANDS LÄN</t>
        </is>
      </c>
      <c r="G300" t="inlineStr">
        <is>
          <t>TÖREBODA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45720</v>
      </c>
      <c r="E301" s="1" t="n">
        <v>46249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45741</v>
      </c>
      <c r="E302" s="1" t="n">
        <v>46249</v>
      </c>
      <c r="F302" t="inlineStr">
        <is>
          <t>VÄSTRA GÖTALANDS LÄN</t>
        </is>
      </c>
      <c r="G302" t="inlineStr">
        <is>
          <t>TÖREBODA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46210</v>
      </c>
      <c r="E303" s="1" t="n">
        <v>46249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45720</v>
      </c>
      <c r="E304" s="1" t="n">
        <v>46249</v>
      </c>
      <c r="F304" t="inlineStr">
        <is>
          <t>VÄSTRA GÖTALANDS LÄN</t>
        </is>
      </c>
      <c r="G304" t="inlineStr">
        <is>
          <t>TÖREBODA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30200-2026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46249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46248</v>
      </c>
      <c r="E306" s="1" t="n">
        <v>46249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46249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46249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46249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46249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46249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46249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46249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46249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2026-08-15T08:30:18Z</dcterms:created>
  <dcterms:modified xmlns:dcterms="http://purl.org/dc/terms/" xmlns:xsi="http://www.w3.org/2001/XMLSchema-instance" xsi:type="dcterms:W3CDTF">2026-08-15T08:30:18Z</dcterms:modified>
</cp:coreProperties>
</file>