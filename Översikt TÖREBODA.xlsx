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4361-2024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45587</v>
      </c>
      <c r="E2" s="1" t="n">
        <v>46322</v>
      </c>
      <c r="F2" t="inlineStr">
        <is>
          <t>VÄSTRA GÖTALANDS LÄN</t>
        </is>
      </c>
      <c r="G2" t="inlineStr">
        <is>
          <t>TÖREBODA</t>
        </is>
      </c>
      <c r="I2" t="n">
        <v>541.6</v>
      </c>
      <c r="J2" t="n">
        <v>6</v>
      </c>
      <c r="K2" t="n">
        <v>4</v>
      </c>
      <c r="L2" t="n">
        <v>9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1</v>
      </c>
      <c r="S2" t="n">
        <v>19</v>
      </c>
      <c r="T2" t="n">
        <v>29</v>
      </c>
      <c r="U2" t="n">
        <v>8</v>
      </c>
      <c r="V2" s="2" t="inlineStr">
        <is>
          <t>Frygisk spindling
Blå taggsvamp
Dropptaggsvamp
Fjällig taggsvamp s.str.
Kandelabersvamp
Kryddspindling
Persiljespindling
Tallkötticka
Talltaggsvamp
Talltita
Smal svampklubba
Större träfjäril
Trådticka
Zontaggsvamp
Mattlummer
Spillkråka
Vanlig snok
Nattviol
Revlummer</t>
        </is>
      </c>
      <c r="W2">
        <f>HYPERLINK("https://klasma.github.io/Logging_1473/artfynd/S 4361-2024 artfynd.xlsx", "S 4361-2024")</f>
        <v/>
      </c>
      <c r="X2">
        <f>HYPERLINK("https://klasma.github.io/Logging_1473/kartor/S 4361-2024 karta.png", "S 4361-2024")</f>
        <v/>
      </c>
      <c r="Y2">
        <f>HYPERLINK("https://klasma.github.io/Logging_1473/kartor_geotiff/S 4361-2024 georefererad karta.tif", "S 4361-2024")</f>
        <v/>
      </c>
      <c r="AA2">
        <f>HYPERLINK("https://klasma.github.io/Logging_1473/klagomål/S 4361-2024 FSC-klagomål.docx", "S 4361-2024")</f>
        <v/>
      </c>
      <c r="AB2">
        <f>HYPERLINK("https://klasma.github.io/Logging_1473/klagomålsmail/S 4361-2024 FSC-klagomål mail.docx", "S 4361-2024")</f>
        <v/>
      </c>
      <c r="AC2">
        <f>HYPERLINK("https://klasma.github.io/Logging_1473/tillsyn/S 4361-2024 tillsynsbegäran.docx", "S 4361-2024")</f>
        <v/>
      </c>
      <c r="AD2">
        <f>HYPERLINK("https://klasma.github.io/Logging_1473/tillsynsmail/S 4361-2024 tillsynsbegäran mail.docx", "S 4361-2024")</f>
        <v/>
      </c>
      <c r="AE2">
        <f>HYPERLINK("https://klasma.github.io/Logging_1473/fåglar/S 4361-2024 prioriterade fågelarter.docx", "S 4361-2024")</f>
        <v/>
      </c>
    </row>
    <row r="3" ht="15" customHeight="1">
      <c r="A3" t="inlineStr">
        <is>
          <t>S 3878-2022</t>
        </is>
      </c>
      <c r="B3" t="inlineStr">
        <is>
          <t>samrådsanmälan</t>
        </is>
      </c>
      <c r="C3" t="inlineStr">
        <is>
          <t>Askåterföring</t>
        </is>
      </c>
      <c r="D3" s="1" t="n">
        <v>44747</v>
      </c>
      <c r="E3" s="1" t="n">
        <v>46322</v>
      </c>
      <c r="F3" t="inlineStr">
        <is>
          <t>VÄSTRA GÖTALANDS LÄN</t>
        </is>
      </c>
      <c r="G3" t="inlineStr">
        <is>
          <t>TÖREBODA</t>
        </is>
      </c>
      <c r="H3" t="inlineStr">
        <is>
          <t>Kyrkan</t>
        </is>
      </c>
      <c r="I3" t="n">
        <v>132.4</v>
      </c>
      <c r="J3" t="n">
        <v>7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7</v>
      </c>
      <c r="T3" t="n">
        <v>7</v>
      </c>
      <c r="U3" t="n">
        <v>7</v>
      </c>
      <c r="V3" s="2" t="inlineStr">
        <is>
          <t>Brunlångöra
Nordfladdermus
Dvärgpipistrell
Havsörn
Större brunfladdermus
Vattenfladdermus
Vanlig groda</t>
        </is>
      </c>
      <c r="W3">
        <f>HYPERLINK("https://klasma.github.io/Logging_1473/artfynd/S 3878-2022 artfynd.xlsx", "S 3878-2022")</f>
        <v/>
      </c>
      <c r="X3">
        <f>HYPERLINK("https://klasma.github.io/Logging_1473/kartor/S 3878-2022 karta.png", "S 3878-2022")</f>
        <v/>
      </c>
      <c r="Y3">
        <f>HYPERLINK("https://klasma.github.io/Logging_1473/kartor_geotiff/S 3878-2022 georefererad karta.tif", "S 3878-2022")</f>
        <v/>
      </c>
      <c r="AA3">
        <f>HYPERLINK("https://klasma.github.io/Logging_1473/klagomål/S 3878-2022 FSC-klagomål.docx", "S 3878-2022")</f>
        <v/>
      </c>
      <c r="AB3">
        <f>HYPERLINK("https://klasma.github.io/Logging_1473/klagomålsmail/S 3878-2022 FSC-klagomål mail.docx", "S 3878-2022")</f>
        <v/>
      </c>
      <c r="AC3">
        <f>HYPERLINK("https://klasma.github.io/Logging_1473/tillsyn/S 3878-2022 tillsynsbegäran.docx", "S 3878-2022")</f>
        <v/>
      </c>
      <c r="AD3">
        <f>HYPERLINK("https://klasma.github.io/Logging_1473/tillsynsmail/S 3878-2022 tillsynsbegäran mail.docx", "S 3878-2022")</f>
        <v/>
      </c>
      <c r="AE3">
        <f>HYPERLINK("https://klasma.github.io/Logging_1473/fåglar/S 3878-2022 prioriterade fågelarter.docx", "S 3878-2022")</f>
        <v/>
      </c>
    </row>
    <row r="4" ht="15" customHeight="1">
      <c r="A4" t="inlineStr">
        <is>
          <t>A 45158-2023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45191</v>
      </c>
      <c r="E4" s="1" t="n">
        <v>46322</v>
      </c>
      <c r="F4" t="inlineStr">
        <is>
          <t>VÄSTRA GÖTALANDS LÄN</t>
        </is>
      </c>
      <c r="G4" t="inlineStr">
        <is>
          <t>TÖREBODA</t>
        </is>
      </c>
      <c r="I4" t="n">
        <v>2.8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5</v>
      </c>
      <c r="T4" t="n">
        <v>6</v>
      </c>
      <c r="U4" t="n">
        <v>6</v>
      </c>
      <c r="V4" s="2" t="inlineStr">
        <is>
          <t>Knärot
Dropptaggsvamp
Blomkålssvamp
Mattlummer
Spillkråka</t>
        </is>
      </c>
      <c r="W4">
        <f>HYPERLINK("https://klasma.github.io/Logging_1473/artfynd/A 45158-2023 artfynd.xlsx", "A 45158-2023")</f>
        <v/>
      </c>
      <c r="X4">
        <f>HYPERLINK("https://klasma.github.io/Logging_1473/kartor/A 45158-2023 karta.png", "A 45158-2023")</f>
        <v/>
      </c>
      <c r="Y4">
        <f>HYPERLINK("https://klasma.github.io/Logging_1473/kartor_geotiff/A 45158-2023 georefererad karta.tif", "A 45158-2023")</f>
        <v/>
      </c>
      <c r="Z4">
        <f>HYPERLINK("https://klasma.github.io/Logging_1473/knärot/A 45158-2023 karta knärot.png", "A 45158-2023")</f>
        <v/>
      </c>
      <c r="AA4">
        <f>HYPERLINK("https://klasma.github.io/Logging_1473/klagomål/A 45158-2023 FSC-klagomål.docx", "A 45158-2023")</f>
        <v/>
      </c>
      <c r="AB4">
        <f>HYPERLINK("https://klasma.github.io/Logging_1473/klagomålsmail/A 45158-2023 FSC-klagomål mail.docx", "A 45158-2023")</f>
        <v/>
      </c>
      <c r="AC4">
        <f>HYPERLINK("https://klasma.github.io/Logging_1473/tillsyn/A 45158-2023 tillsynsbegäran.docx", "A 45158-2023")</f>
        <v/>
      </c>
      <c r="AD4">
        <f>HYPERLINK("https://klasma.github.io/Logging_1473/tillsynsmail/A 45158-2023 tillsynsbegäran mail.docx", "A 45158-2023")</f>
        <v/>
      </c>
      <c r="AE4">
        <f>HYPERLINK("https://klasma.github.io/Logging_1473/fåglar/A 45158-2023 prioriterade fågelarter.docx", "A 45158-2023")</f>
        <v/>
      </c>
    </row>
    <row r="5" ht="15" customHeight="1">
      <c r="A5" t="inlineStr">
        <is>
          <t>A 39432-2026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46288</v>
      </c>
      <c r="E5" s="1" t="n">
        <v>46322</v>
      </c>
      <c r="F5" t="inlineStr">
        <is>
          <t>VÄSTRA GÖTALANDS LÄN</t>
        </is>
      </c>
      <c r="G5" t="inlineStr">
        <is>
          <t>TÖREBODA</t>
        </is>
      </c>
      <c r="H5" t="inlineStr">
        <is>
          <t>Sveaskog</t>
        </is>
      </c>
      <c r="I5" t="n">
        <v>2.3</v>
      </c>
      <c r="J5" t="n">
        <v>5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5</v>
      </c>
      <c r="T5" t="n">
        <v>5</v>
      </c>
      <c r="U5" t="n">
        <v>0</v>
      </c>
      <c r="V5" s="2" t="inlineStr">
        <is>
          <t>Entita
Järnsparv
Rödvingetrast
Rörsångare
Grönsiska</t>
        </is>
      </c>
      <c r="W5">
        <f>HYPERLINK("https://klasma.github.io/Logging_1473/artfynd/A 39432-2026 artfynd.xlsx", "A 39432-2026")</f>
        <v/>
      </c>
      <c r="X5">
        <f>HYPERLINK("https://klasma.github.io/Logging_1473/kartor/A 39432-2026 karta.png", "A 39432-2026")</f>
        <v/>
      </c>
      <c r="Y5">
        <f>HYPERLINK("https://klasma.github.io/Logging_1473/kartor_geotiff/A 39432-2026 georefererad karta.tif", "A 39432-2026")</f>
        <v/>
      </c>
      <c r="AA5">
        <f>HYPERLINK("https://klasma.github.io/Logging_1473/klagomål/A 39432-2026 FSC-klagomål.docx", "A 39432-2026")</f>
        <v/>
      </c>
      <c r="AB5">
        <f>HYPERLINK("https://klasma.github.io/Logging_1473/klagomålsmail/A 39432-2026 FSC-klagomål mail.docx", "A 39432-2026")</f>
        <v/>
      </c>
      <c r="AC5">
        <f>HYPERLINK("https://klasma.github.io/Logging_1473/tillsyn/A 39432-2026 tillsynsbegäran.docx", "A 39432-2026")</f>
        <v/>
      </c>
      <c r="AD5">
        <f>HYPERLINK("https://klasma.github.io/Logging_1473/tillsynsmail/A 39432-2026 tillsynsbegäran mail.docx", "A 39432-2026")</f>
        <v/>
      </c>
      <c r="AE5">
        <f>HYPERLINK("https://klasma.github.io/Logging_1473/fåglar/A 39432-2026 prioriterade fågelarter.docx", "A 39432-2026")</f>
        <v/>
      </c>
    </row>
    <row r="6" ht="15" customHeight="1">
      <c r="A6" t="inlineStr">
        <is>
          <t>S 808-2023</t>
        </is>
      </c>
      <c r="B6" t="inlineStr">
        <is>
          <t>samrådsanmälan</t>
        </is>
      </c>
      <c r="C6" t="inlineStr">
        <is>
          <t>Askåterföring</t>
        </is>
      </c>
      <c r="D6" s="1" t="n">
        <v>44986</v>
      </c>
      <c r="E6" s="1" t="n">
        <v>46322</v>
      </c>
      <c r="F6" t="inlineStr">
        <is>
          <t>VÄSTRA GÖTALANDS LÄN</t>
        </is>
      </c>
      <c r="G6" t="inlineStr">
        <is>
          <t>TÖREBODA</t>
        </is>
      </c>
      <c r="H6" t="inlineStr">
        <is>
          <t>Kyrkan</t>
        </is>
      </c>
      <c r="I6" t="n">
        <v>218.2</v>
      </c>
      <c r="J6" t="n">
        <v>2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5</v>
      </c>
      <c r="T6" t="n">
        <v>7</v>
      </c>
      <c r="U6" t="n">
        <v>6</v>
      </c>
      <c r="V6" s="2" t="inlineStr">
        <is>
          <t>Kopparspindling
Blå taggsvamp
Toppvaxing
Tjäder
Kopparödla</t>
        </is>
      </c>
      <c r="W6">
        <f>HYPERLINK("https://klasma.github.io/Logging_1473/artfynd/S 808-2023 artfynd.xlsx", "S 808-2023")</f>
        <v/>
      </c>
      <c r="X6">
        <f>HYPERLINK("https://klasma.github.io/Logging_1473/kartor/S 808-2023 karta.png", "S 808-2023")</f>
        <v/>
      </c>
      <c r="Y6">
        <f>HYPERLINK("https://klasma.github.io/Logging_1473/kartor_geotiff/S 808-2023 georefererad karta.tif", "S 808-2023")</f>
        <v/>
      </c>
      <c r="AA6">
        <f>HYPERLINK("https://klasma.github.io/Logging_1473/klagomål/S 808-2023 FSC-klagomål.docx", "S 808-2023")</f>
        <v/>
      </c>
      <c r="AB6">
        <f>HYPERLINK("https://klasma.github.io/Logging_1473/klagomålsmail/S 808-2023 FSC-klagomål mail.docx", "S 808-2023")</f>
        <v/>
      </c>
      <c r="AC6">
        <f>HYPERLINK("https://klasma.github.io/Logging_1473/tillsyn/S 808-2023 tillsynsbegäran.docx", "S 808-2023")</f>
        <v/>
      </c>
      <c r="AD6">
        <f>HYPERLINK("https://klasma.github.io/Logging_1473/tillsynsmail/S 808-2023 tillsynsbegäran mail.docx", "S 808-2023")</f>
        <v/>
      </c>
      <c r="AE6">
        <f>HYPERLINK("https://klasma.github.io/Logging_1473/fåglar/S 808-2023 prioriterade fågelarter.docx", "S 808-2023")</f>
        <v/>
      </c>
    </row>
    <row r="7" ht="15" customHeight="1">
      <c r="A7" t="inlineStr">
        <is>
          <t>A 10833-2025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45722</v>
      </c>
      <c r="E7" s="1" t="n">
        <v>46322</v>
      </c>
      <c r="F7" t="inlineStr">
        <is>
          <t>VÄSTRA GÖTALANDS LÄN</t>
        </is>
      </c>
      <c r="G7" t="inlineStr">
        <is>
          <t>TÖREBODA</t>
        </is>
      </c>
      <c r="I7" t="n">
        <v>24.6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4</v>
      </c>
      <c r="T7" t="n">
        <v>4</v>
      </c>
      <c r="U7" t="n">
        <v>4</v>
      </c>
      <c r="V7" s="2" t="inlineStr">
        <is>
          <t>Jungfrulin
Mattlummer
Grönvit nattviol
Revlummer</t>
        </is>
      </c>
      <c r="W7">
        <f>HYPERLINK("https://klasma.github.io/Logging_1473/artfynd/A 10833-2025 artfynd.xlsx", "A 10833-2025")</f>
        <v/>
      </c>
      <c r="X7">
        <f>HYPERLINK("https://klasma.github.io/Logging_1473/kartor/A 10833-2025 karta.png", "A 10833-2025")</f>
        <v/>
      </c>
      <c r="Y7">
        <f>HYPERLINK("https://klasma.github.io/Logging_1473/kartor_geotiff/A 10833-2025 georefererad karta.tif", "A 10833-2025")</f>
        <v/>
      </c>
      <c r="AA7">
        <f>HYPERLINK("https://klasma.github.io/Logging_1473/klagomål/A 10833-2025 FSC-klagomål.docx", "A 10833-2025")</f>
        <v/>
      </c>
      <c r="AB7">
        <f>HYPERLINK("https://klasma.github.io/Logging_1473/klagomålsmail/A 10833-2025 FSC-klagomål mail.docx", "A 10833-2025")</f>
        <v/>
      </c>
      <c r="AC7">
        <f>HYPERLINK("https://klasma.github.io/Logging_1473/tillsyn/A 10833-2025 tillsynsbegäran.docx", "A 10833-2025")</f>
        <v/>
      </c>
      <c r="AD7">
        <f>HYPERLINK("https://klasma.github.io/Logging_1473/tillsynsmail/A 10833-2025 tillsynsbegäran mail.docx", "A 10833-2025")</f>
        <v/>
      </c>
    </row>
    <row r="8" ht="15" customHeight="1">
      <c r="A8" t="inlineStr">
        <is>
          <t>A 21931-2026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46150</v>
      </c>
      <c r="E8" s="1" t="n">
        <v>46322</v>
      </c>
      <c r="F8" t="inlineStr">
        <is>
          <t>VÄSTRA GÖTALANDS LÄN</t>
        </is>
      </c>
      <c r="G8" t="inlineStr">
        <is>
          <t>TÖREBODA</t>
        </is>
      </c>
      <c r="I8" t="n">
        <v>6.2</v>
      </c>
      <c r="J8" t="n">
        <v>1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4</v>
      </c>
      <c r="T8" t="n">
        <v>8</v>
      </c>
      <c r="U8" t="n">
        <v>0</v>
      </c>
      <c r="V8" s="2" t="inlineStr">
        <is>
          <t>Solfingersvamp
Hasselticka
Lindskål
Blåsippa</t>
        </is>
      </c>
      <c r="W8">
        <f>HYPERLINK("https://klasma.github.io/Logging_1473/artfynd/A 21931-2026 artfynd.xlsx", "A 21931-2026")</f>
        <v/>
      </c>
      <c r="X8">
        <f>HYPERLINK("https://klasma.github.io/Logging_1473/kartor/A 21931-2026 karta.png", "A 21931-2026")</f>
        <v/>
      </c>
      <c r="Y8">
        <f>HYPERLINK("https://klasma.github.io/Logging_1473/kartor_geotiff/A 21931-2026 georefererad karta.tif", "A 21931-2026")</f>
        <v/>
      </c>
      <c r="AA8">
        <f>HYPERLINK("https://klasma.github.io/Logging_1473/klagomål/A 21931-2026 FSC-klagomål.docx", "A 21931-2026")</f>
        <v/>
      </c>
      <c r="AB8">
        <f>HYPERLINK("https://klasma.github.io/Logging_1473/klagomålsmail/A 21931-2026 FSC-klagomål mail.docx", "A 21931-2026")</f>
        <v/>
      </c>
      <c r="AC8">
        <f>HYPERLINK("https://klasma.github.io/Logging_1473/tillsyn/A 21931-2026 tillsynsbegäran.docx", "A 21931-2026")</f>
        <v/>
      </c>
      <c r="AD8">
        <f>HYPERLINK("https://klasma.github.io/Logging_1473/tillsynsmail/A 21931-2026 tillsynsbegäran mail.docx", "A 21931-2026")</f>
        <v/>
      </c>
    </row>
    <row r="9" ht="15" customHeight="1">
      <c r="A9" t="inlineStr">
        <is>
          <t>A 58019-2022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44900</v>
      </c>
      <c r="E9" s="1" t="n">
        <v>46322</v>
      </c>
      <c r="F9" t="inlineStr">
        <is>
          <t>VÄSTRA GÖTALANDS LÄN</t>
        </is>
      </c>
      <c r="G9" t="inlineStr">
        <is>
          <t>TÖREBODA</t>
        </is>
      </c>
      <c r="I9" t="n">
        <v>2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4</v>
      </c>
      <c r="T9" t="n">
        <v>4</v>
      </c>
      <c r="U9" t="n">
        <v>0</v>
      </c>
      <c r="V9" s="2" t="inlineStr">
        <is>
          <t>Lundviva
Strutbräken
Blåsippa
Gullviva</t>
        </is>
      </c>
      <c r="W9">
        <f>HYPERLINK("https://klasma.github.io/Logging_1473/artfynd/A 58019-2022 artfynd.xlsx", "A 58019-2022")</f>
        <v/>
      </c>
      <c r="X9">
        <f>HYPERLINK("https://klasma.github.io/Logging_1473/kartor/A 58019-2022 karta.png", "A 58019-2022")</f>
        <v/>
      </c>
      <c r="Y9">
        <f>HYPERLINK("https://klasma.github.io/Logging_1473/kartor_geotiff/A 58019-2022 georefererad karta.tif", "A 58019-2022")</f>
        <v/>
      </c>
      <c r="AA9">
        <f>HYPERLINK("https://klasma.github.io/Logging_1473/klagomål/A 58019-2022 FSC-klagomål.docx", "A 58019-2022")</f>
        <v/>
      </c>
      <c r="AB9">
        <f>HYPERLINK("https://klasma.github.io/Logging_1473/klagomålsmail/A 58019-2022 FSC-klagomål mail.docx", "A 58019-2022")</f>
        <v/>
      </c>
      <c r="AC9">
        <f>HYPERLINK("https://klasma.github.io/Logging_1473/tillsyn/A 58019-2022 tillsynsbegäran.docx", "A 58019-2022")</f>
        <v/>
      </c>
      <c r="AD9">
        <f>HYPERLINK("https://klasma.github.io/Logging_1473/tillsynsmail/A 58019-2022 tillsynsbegäran mail.docx", "A 58019-2022")</f>
        <v/>
      </c>
    </row>
    <row r="10" ht="15" customHeight="1">
      <c r="A10" t="inlineStr">
        <is>
          <t>S 613-2025</t>
        </is>
      </c>
      <c r="B10" t="inlineStr">
        <is>
          <t>samrådsanmälan</t>
        </is>
      </c>
      <c r="C10" t="inlineStr">
        <is>
          <t>Askåterföring</t>
        </is>
      </c>
      <c r="D10" s="1" t="n">
        <v>45713</v>
      </c>
      <c r="E10" s="1" t="n">
        <v>46322</v>
      </c>
      <c r="F10" t="inlineStr">
        <is>
          <t>VÄSTRA GÖTALANDS LÄN</t>
        </is>
      </c>
      <c r="G10" t="inlineStr">
        <is>
          <t>TÖREBODA</t>
        </is>
      </c>
      <c r="H10" t="inlineStr">
        <is>
          <t>Kyrkan</t>
        </is>
      </c>
      <c r="I10" t="n">
        <v>81.3</v>
      </c>
      <c r="J10" t="n">
        <v>3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4</v>
      </c>
      <c r="T10" t="n">
        <v>4</v>
      </c>
      <c r="U10" t="n">
        <v>2</v>
      </c>
      <c r="V10" s="2" t="inlineStr">
        <is>
          <t>Svinrot
Talltita
Vanlig groda
Revlummer</t>
        </is>
      </c>
      <c r="W10">
        <f>HYPERLINK("https://klasma.github.io/Logging_1473/artfynd/S 613-2025 artfynd.xlsx", "S 613-2025")</f>
        <v/>
      </c>
      <c r="X10">
        <f>HYPERLINK("https://klasma.github.io/Logging_1473/kartor/S 613-2025 karta.png", "S 613-2025")</f>
        <v/>
      </c>
      <c r="Y10">
        <f>HYPERLINK("https://klasma.github.io/Logging_1473/kartor_geotiff/S 613-2025 georefererad karta.tif", "S 613-2025")</f>
        <v/>
      </c>
      <c r="AA10">
        <f>HYPERLINK("https://klasma.github.io/Logging_1473/klagomål/S 613-2025 FSC-klagomål.docx", "S 613-2025")</f>
        <v/>
      </c>
      <c r="AB10">
        <f>HYPERLINK("https://klasma.github.io/Logging_1473/klagomålsmail/S 613-2025 FSC-klagomål mail.docx", "S 613-2025")</f>
        <v/>
      </c>
      <c r="AC10">
        <f>HYPERLINK("https://klasma.github.io/Logging_1473/tillsyn/S 613-2025 tillsynsbegäran.docx", "S 613-2025")</f>
        <v/>
      </c>
      <c r="AD10">
        <f>HYPERLINK("https://klasma.github.io/Logging_1473/tillsynsmail/S 613-2025 tillsynsbegäran mail.docx", "S 613-2025")</f>
        <v/>
      </c>
      <c r="AE10">
        <f>HYPERLINK("https://klasma.github.io/Logging_1473/fåglar/S 613-2025 prioriterade fågelarter.docx", "S 613-2025")</f>
        <v/>
      </c>
    </row>
    <row r="11" ht="15" customHeight="1">
      <c r="A11" t="inlineStr">
        <is>
          <t>S 596-2026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46085</v>
      </c>
      <c r="E11" s="1" t="n">
        <v>46322</v>
      </c>
      <c r="F11" t="inlineStr">
        <is>
          <t>VÄSTRA GÖTALANDS LÄN</t>
        </is>
      </c>
      <c r="G11" t="inlineStr">
        <is>
          <t>TÖREBODA</t>
        </is>
      </c>
      <c r="I11" t="n">
        <v>6.2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4</v>
      </c>
      <c r="T11" t="n">
        <v>9</v>
      </c>
      <c r="U11" t="n">
        <v>0</v>
      </c>
      <c r="V11" s="2" t="inlineStr">
        <is>
          <t>Solfingersvamp
Hasselticka
Lindskål
Blåsippa</t>
        </is>
      </c>
      <c r="W11">
        <f>HYPERLINK("https://klasma.github.io/Logging_1473/artfynd/S 596-2026 artfynd.xlsx", "S 596-2026")</f>
        <v/>
      </c>
      <c r="X11">
        <f>HYPERLINK("https://klasma.github.io/Logging_1473/kartor/S 596-2026 karta.png", "S 596-2026")</f>
        <v/>
      </c>
      <c r="Y11">
        <f>HYPERLINK("https://klasma.github.io/Logging_1473/kartor_geotiff/S 596-2026 georefererad karta.tif", "S 596-2026")</f>
        <v/>
      </c>
      <c r="AA11">
        <f>HYPERLINK("https://klasma.github.io/Logging_1473/klagomål/S 596-2026 FSC-klagomål.docx", "S 596-2026")</f>
        <v/>
      </c>
      <c r="AB11">
        <f>HYPERLINK("https://klasma.github.io/Logging_1473/klagomålsmail/S 596-2026 FSC-klagomål mail.docx", "S 596-2026")</f>
        <v/>
      </c>
      <c r="AC11">
        <f>HYPERLINK("https://klasma.github.io/Logging_1473/tillsyn/S 596-2026 tillsynsbegäran.docx", "S 596-2026")</f>
        <v/>
      </c>
      <c r="AD11">
        <f>HYPERLINK("https://klasma.github.io/Logging_1473/tillsynsmail/S 596-2026 tillsynsbegäran mail.docx", "S 596-2026")</f>
        <v/>
      </c>
    </row>
    <row r="12" ht="15" customHeight="1">
      <c r="A12" t="inlineStr">
        <is>
          <t>A 17615-2025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45757</v>
      </c>
      <c r="E12" s="1" t="n">
        <v>46322</v>
      </c>
      <c r="F12" t="inlineStr">
        <is>
          <t>VÄSTRA GÖTALANDS LÄN</t>
        </is>
      </c>
      <c r="G12" t="inlineStr">
        <is>
          <t>TÖREBODA</t>
        </is>
      </c>
      <c r="I12" t="n">
        <v>7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6</v>
      </c>
      <c r="U12" t="n">
        <v>0</v>
      </c>
      <c r="V12" s="2" t="inlineStr">
        <is>
          <t>Brandticka
Större träfjäril
Mattlummer</t>
        </is>
      </c>
      <c r="W12">
        <f>HYPERLINK("https://klasma.github.io/Logging_1473/artfynd/A 17615-2025 artfynd.xlsx", "A 17615-2025")</f>
        <v/>
      </c>
      <c r="X12">
        <f>HYPERLINK("https://klasma.github.io/Logging_1473/kartor/A 17615-2025 karta.png", "A 17615-2025")</f>
        <v/>
      </c>
      <c r="Y12">
        <f>HYPERLINK("https://klasma.github.io/Logging_1473/kartor_geotiff/A 17615-2025 georefererad karta.tif", "A 17615-2025")</f>
        <v/>
      </c>
      <c r="AA12">
        <f>HYPERLINK("https://klasma.github.io/Logging_1473/klagomål/A 17615-2025 FSC-klagomål.docx", "A 17615-2025")</f>
        <v/>
      </c>
      <c r="AB12">
        <f>HYPERLINK("https://klasma.github.io/Logging_1473/klagomålsmail/A 17615-2025 FSC-klagomål mail.docx", "A 17615-2025")</f>
        <v/>
      </c>
      <c r="AC12">
        <f>HYPERLINK("https://klasma.github.io/Logging_1473/tillsyn/A 17615-2025 tillsynsbegäran.docx", "A 17615-2025")</f>
        <v/>
      </c>
      <c r="AD12">
        <f>HYPERLINK("https://klasma.github.io/Logging_1473/tillsynsmail/A 17615-2025 tillsynsbegäran mail.docx", "A 17615-2025")</f>
        <v/>
      </c>
    </row>
    <row r="13" ht="15" customHeight="1">
      <c r="A13" t="inlineStr">
        <is>
          <t>A 30197-2026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46206</v>
      </c>
      <c r="E13" s="1" t="n">
        <v>46322</v>
      </c>
      <c r="F13" t="inlineStr">
        <is>
          <t>VÄSTRA GÖTALANDS LÄN</t>
        </is>
      </c>
      <c r="G13" t="inlineStr">
        <is>
          <t>TÖREBODA</t>
        </is>
      </c>
      <c r="H13" t="inlineStr">
        <is>
          <t>Sveaskog</t>
        </is>
      </c>
      <c r="I13" t="n">
        <v>3.2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Ormbär
Revlummer</t>
        </is>
      </c>
      <c r="W13">
        <f>HYPERLINK("https://klasma.github.io/Logging_1473/artfynd/A 30197-2026 artfynd.xlsx", "A 30197-2026")</f>
        <v/>
      </c>
      <c r="X13">
        <f>HYPERLINK("https://klasma.github.io/Logging_1473/kartor/A 30197-2026 karta.png", "A 30197-2026")</f>
        <v/>
      </c>
      <c r="Y13">
        <f>HYPERLINK("https://klasma.github.io/Logging_1473/kartor_geotiff/A 30197-2026 georefererad karta.tif", "A 30197-2026")</f>
        <v/>
      </c>
      <c r="AA13">
        <f>HYPERLINK("https://klasma.github.io/Logging_1473/klagomål/A 30197-2026 FSC-klagomål.docx", "A 30197-2026")</f>
        <v/>
      </c>
      <c r="AB13">
        <f>HYPERLINK("https://klasma.github.io/Logging_1473/klagomålsmail/A 30197-2026 FSC-klagomål mail.docx", "A 30197-2026")</f>
        <v/>
      </c>
      <c r="AC13">
        <f>HYPERLINK("https://klasma.github.io/Logging_1473/tillsyn/A 30197-2026 tillsynsbegäran.docx", "A 30197-2026")</f>
        <v/>
      </c>
      <c r="AD13">
        <f>HYPERLINK("https://klasma.github.io/Logging_1473/tillsynsmail/A 30197-2026 tillsynsbegäran mail.docx", "A 30197-2026")</f>
        <v/>
      </c>
    </row>
    <row r="14" ht="15" customHeight="1">
      <c r="A14" t="inlineStr">
        <is>
          <t>A 39659-2024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45552</v>
      </c>
      <c r="E14" s="1" t="n">
        <v>46322</v>
      </c>
      <c r="F14" t="inlineStr">
        <is>
          <t>VÄSTRA GÖTALANDS LÄN</t>
        </is>
      </c>
      <c r="G14" t="inlineStr">
        <is>
          <t>TÖREBODA</t>
        </is>
      </c>
      <c r="I14" t="n">
        <v>2.4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5</v>
      </c>
      <c r="U14" t="n">
        <v>5</v>
      </c>
      <c r="V14" s="2" t="inlineStr">
        <is>
          <t>Slåtterfibbla
Mattlummer</t>
        </is>
      </c>
      <c r="W14">
        <f>HYPERLINK("https://klasma.github.io/Logging_1473/artfynd/A 39659-2024 artfynd.xlsx", "A 39659-2024")</f>
        <v/>
      </c>
      <c r="X14">
        <f>HYPERLINK("https://klasma.github.io/Logging_1473/kartor/A 39659-2024 karta.png", "A 39659-2024")</f>
        <v/>
      </c>
      <c r="Y14">
        <f>HYPERLINK("https://klasma.github.io/Logging_1473/kartor_geotiff/A 39659-2024 georefererad karta.tif", "A 39659-2024")</f>
        <v/>
      </c>
      <c r="AA14">
        <f>HYPERLINK("https://klasma.github.io/Logging_1473/klagomål/A 39659-2024 FSC-klagomål.docx", "A 39659-2024")</f>
        <v/>
      </c>
      <c r="AB14">
        <f>HYPERLINK("https://klasma.github.io/Logging_1473/klagomålsmail/A 39659-2024 FSC-klagomål mail.docx", "A 39659-2024")</f>
        <v/>
      </c>
      <c r="AC14">
        <f>HYPERLINK("https://klasma.github.io/Logging_1473/tillsyn/A 39659-2024 tillsynsbegäran.docx", "A 39659-2024")</f>
        <v/>
      </c>
      <c r="AD14">
        <f>HYPERLINK("https://klasma.github.io/Logging_1473/tillsynsmail/A 39659-2024 tillsynsbegäran mail.docx", "A 39659-2024")</f>
        <v/>
      </c>
    </row>
    <row r="15" ht="15" customHeight="1">
      <c r="A15" t="inlineStr">
        <is>
          <t>A 61281-2023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45264</v>
      </c>
      <c r="E15" s="1" t="n">
        <v>46322</v>
      </c>
      <c r="F15" t="inlineStr">
        <is>
          <t>VÄSTRA GÖTALANDS LÄN</t>
        </is>
      </c>
      <c r="G15" t="inlineStr">
        <is>
          <t>TÖREBODA</t>
        </is>
      </c>
      <c r="H15" t="inlineStr">
        <is>
          <t>Kyrkan</t>
        </is>
      </c>
      <c r="I15" t="n">
        <v>20.8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2</v>
      </c>
      <c r="V15" s="2" t="inlineStr">
        <is>
          <t>Talltita
Vanlig snok</t>
        </is>
      </c>
      <c r="W15">
        <f>HYPERLINK("https://klasma.github.io/Logging_1473/artfynd/A 61281-2023 artfynd.xlsx", "A 61281-2023")</f>
        <v/>
      </c>
      <c r="X15">
        <f>HYPERLINK("https://klasma.github.io/Logging_1473/kartor/A 61281-2023 karta.png", "A 61281-2023")</f>
        <v/>
      </c>
      <c r="Y15">
        <f>HYPERLINK("https://klasma.github.io/Logging_1473/kartor_geotiff/A 61281-2023 georefererad karta.tif", "A 61281-2023")</f>
        <v/>
      </c>
      <c r="AA15">
        <f>HYPERLINK("https://klasma.github.io/Logging_1473/klagomål/A 61281-2023 FSC-klagomål.docx", "A 61281-2023")</f>
        <v/>
      </c>
      <c r="AB15">
        <f>HYPERLINK("https://klasma.github.io/Logging_1473/klagomålsmail/A 61281-2023 FSC-klagomål mail.docx", "A 61281-2023")</f>
        <v/>
      </c>
      <c r="AC15">
        <f>HYPERLINK("https://klasma.github.io/Logging_1473/tillsyn/A 61281-2023 tillsynsbegäran.docx", "A 61281-2023")</f>
        <v/>
      </c>
      <c r="AD15">
        <f>HYPERLINK("https://klasma.github.io/Logging_1473/tillsynsmail/A 61281-2023 tillsynsbegäran mail.docx", "A 61281-2023")</f>
        <v/>
      </c>
      <c r="AE15">
        <f>HYPERLINK("https://klasma.github.io/Logging_1473/fåglar/A 61281-2023 prioriterade fågelarter.docx", "A 61281-2023")</f>
        <v/>
      </c>
    </row>
    <row r="16" ht="15" customHeight="1">
      <c r="A16" t="inlineStr">
        <is>
          <t>A 11692-2025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45727</v>
      </c>
      <c r="E16" s="1" t="n">
        <v>46322</v>
      </c>
      <c r="F16" t="inlineStr">
        <is>
          <t>VÄSTRA GÖTALANDS LÄN</t>
        </is>
      </c>
      <c r="G16" t="inlineStr">
        <is>
          <t>TÖREBODA</t>
        </is>
      </c>
      <c r="I16" t="n">
        <v>0.9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Björksplintborre
Jättesvampmal</t>
        </is>
      </c>
      <c r="W16">
        <f>HYPERLINK("https://klasma.github.io/Logging_1473/artfynd/A 11692-2025 artfynd.xlsx", "A 11692-2025")</f>
        <v/>
      </c>
      <c r="X16">
        <f>HYPERLINK("https://klasma.github.io/Logging_1473/kartor/A 11692-2025 karta.png", "A 11692-2025")</f>
        <v/>
      </c>
      <c r="Y16">
        <f>HYPERLINK("https://klasma.github.io/Logging_1473/kartor_geotiff/A 11692-2025 georefererad karta.tif", "A 11692-2025")</f>
        <v/>
      </c>
      <c r="AA16">
        <f>HYPERLINK("https://klasma.github.io/Logging_1473/klagomål/A 11692-2025 FSC-klagomål.docx", "A 11692-2025")</f>
        <v/>
      </c>
      <c r="AB16">
        <f>HYPERLINK("https://klasma.github.io/Logging_1473/klagomålsmail/A 11692-2025 FSC-klagomål mail.docx", "A 11692-2025")</f>
        <v/>
      </c>
      <c r="AC16">
        <f>HYPERLINK("https://klasma.github.io/Logging_1473/tillsyn/A 11692-2025 tillsynsbegäran.docx", "A 11692-2025")</f>
        <v/>
      </c>
      <c r="AD16">
        <f>HYPERLINK("https://klasma.github.io/Logging_1473/tillsynsmail/A 11692-2025 tillsynsbegäran mail.docx", "A 11692-2025")</f>
        <v/>
      </c>
    </row>
    <row r="17" ht="15" customHeight="1">
      <c r="A17" t="inlineStr">
        <is>
          <t>A 39656-2024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45552</v>
      </c>
      <c r="E17" s="1" t="n">
        <v>46322</v>
      </c>
      <c r="F17" t="inlineStr">
        <is>
          <t>VÄSTRA GÖTALANDS LÄN</t>
        </is>
      </c>
      <c r="G17" t="inlineStr">
        <is>
          <t>TÖREBODA</t>
        </is>
      </c>
      <c r="I17" t="n">
        <v>3.3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Mattlummer
Spillkråka</t>
        </is>
      </c>
      <c r="W17">
        <f>HYPERLINK("https://klasma.github.io/Logging_1473/artfynd/A 39656-2024 artfynd.xlsx", "A 39656-2024")</f>
        <v/>
      </c>
      <c r="X17">
        <f>HYPERLINK("https://klasma.github.io/Logging_1473/kartor/A 39656-2024 karta.png", "A 39656-2024")</f>
        <v/>
      </c>
      <c r="Y17">
        <f>HYPERLINK("https://klasma.github.io/Logging_1473/kartor_geotiff/A 39656-2024 georefererad karta.tif", "A 39656-2024")</f>
        <v/>
      </c>
      <c r="AA17">
        <f>HYPERLINK("https://klasma.github.io/Logging_1473/klagomål/A 39656-2024 FSC-klagomål.docx", "A 39656-2024")</f>
        <v/>
      </c>
      <c r="AB17">
        <f>HYPERLINK("https://klasma.github.io/Logging_1473/klagomålsmail/A 39656-2024 FSC-klagomål mail.docx", "A 39656-2024")</f>
        <v/>
      </c>
      <c r="AC17">
        <f>HYPERLINK("https://klasma.github.io/Logging_1473/tillsyn/A 39656-2024 tillsynsbegäran.docx", "A 39656-2024")</f>
        <v/>
      </c>
      <c r="AD17">
        <f>HYPERLINK("https://klasma.github.io/Logging_1473/tillsynsmail/A 39656-2024 tillsynsbegäran mail.docx", "A 39656-2024")</f>
        <v/>
      </c>
      <c r="AE17">
        <f>HYPERLINK("https://klasma.github.io/Logging_1473/fåglar/A 39656-2024 prioriterade fågelarter.docx", "A 39656-2024")</f>
        <v/>
      </c>
    </row>
    <row r="18" ht="15" customHeight="1">
      <c r="A18" t="inlineStr">
        <is>
          <t>A 7823-2022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44608</v>
      </c>
      <c r="E18" s="1" t="n">
        <v>46322</v>
      </c>
      <c r="F18" t="inlineStr">
        <is>
          <t>VÄSTRA GÖTALANDS LÄN</t>
        </is>
      </c>
      <c r="G18" t="inlineStr">
        <is>
          <t>TÖREBODA</t>
        </is>
      </c>
      <c r="I18" t="n">
        <v>21.5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2</v>
      </c>
      <c r="V18" s="2" t="inlineStr">
        <is>
          <t>Fläcknycklar
Grönvit nattviol</t>
        </is>
      </c>
      <c r="W18">
        <f>HYPERLINK("https://klasma.github.io/Logging_1473/artfynd/A 7823-2022 artfynd.xlsx", "A 7823-2022")</f>
        <v/>
      </c>
      <c r="X18">
        <f>HYPERLINK("https://klasma.github.io/Logging_1473/kartor/A 7823-2022 karta.png", "A 7823-2022")</f>
        <v/>
      </c>
      <c r="Y18">
        <f>HYPERLINK("https://klasma.github.io/Logging_1473/kartor_geotiff/A 7823-2022 georefererad karta.tif", "A 7823-2022")</f>
        <v/>
      </c>
      <c r="AA18">
        <f>HYPERLINK("https://klasma.github.io/Logging_1473/klagomål/A 7823-2022 FSC-klagomål.docx", "A 7823-2022")</f>
        <v/>
      </c>
      <c r="AB18">
        <f>HYPERLINK("https://klasma.github.io/Logging_1473/klagomålsmail/A 7823-2022 FSC-klagomål mail.docx", "A 7823-2022")</f>
        <v/>
      </c>
      <c r="AC18">
        <f>HYPERLINK("https://klasma.github.io/Logging_1473/tillsyn/A 7823-2022 tillsynsbegäran.docx", "A 7823-2022")</f>
        <v/>
      </c>
      <c r="AD18">
        <f>HYPERLINK("https://klasma.github.io/Logging_1473/tillsynsmail/A 7823-2022 tillsynsbegäran mail.docx", "A 7823-2022")</f>
        <v/>
      </c>
    </row>
    <row r="19" ht="15" customHeight="1">
      <c r="A19" t="inlineStr">
        <is>
          <t>A 43522-2022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44837</v>
      </c>
      <c r="E19" s="1" t="n">
        <v>46322</v>
      </c>
      <c r="F19" t="inlineStr">
        <is>
          <t>VÄSTRA GÖTALANDS LÄN</t>
        </is>
      </c>
      <c r="G19" t="inlineStr">
        <is>
          <t>TÖREBODA</t>
        </is>
      </c>
      <c r="I19" t="n">
        <v>0.6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s="2" t="inlineStr">
        <is>
          <t>Grönpyrola</t>
        </is>
      </c>
      <c r="W19">
        <f>HYPERLINK("https://klasma.github.io/Logging_1473/artfynd/A 43522-2022 artfynd.xlsx", "A 43522-2022")</f>
        <v/>
      </c>
      <c r="X19">
        <f>HYPERLINK("https://klasma.github.io/Logging_1473/kartor/A 43522-2022 karta.png", "A 43522-2022")</f>
        <v/>
      </c>
      <c r="Y19">
        <f>HYPERLINK("https://klasma.github.io/Logging_1473/kartor_geotiff/A 43522-2022 georefererad karta.tif", "A 43522-2022")</f>
        <v/>
      </c>
      <c r="AA19">
        <f>HYPERLINK("https://klasma.github.io/Logging_1473/klagomål/A 43522-2022 FSC-klagomål.docx", "A 43522-2022")</f>
        <v/>
      </c>
      <c r="AB19">
        <f>HYPERLINK("https://klasma.github.io/Logging_1473/klagomålsmail/A 43522-2022 FSC-klagomål mail.docx", "A 43522-2022")</f>
        <v/>
      </c>
      <c r="AC19">
        <f>HYPERLINK("https://klasma.github.io/Logging_1473/tillsyn/A 43522-2022 tillsynsbegäran.docx", "A 43522-2022")</f>
        <v/>
      </c>
      <c r="AD19">
        <f>HYPERLINK("https://klasma.github.io/Logging_1473/tillsynsmail/A 43522-2022 tillsynsbegäran mail.docx", "A 43522-2022")</f>
        <v/>
      </c>
    </row>
    <row r="20" ht="15" customHeight="1">
      <c r="A20" t="inlineStr">
        <is>
          <t>A 9985-2023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44985</v>
      </c>
      <c r="E20" s="1" t="n">
        <v>46322</v>
      </c>
      <c r="F20" t="inlineStr">
        <is>
          <t>VÄSTRA GÖTALANDS LÄN</t>
        </is>
      </c>
      <c r="G20" t="inlineStr">
        <is>
          <t>TÖREBODA</t>
        </is>
      </c>
      <c r="I20" t="n">
        <v>5.5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Revlummer</t>
        </is>
      </c>
      <c r="W20">
        <f>HYPERLINK("https://klasma.github.io/Logging_1473/artfynd/A 9985-2023 artfynd.xlsx", "A 9985-2023")</f>
        <v/>
      </c>
      <c r="X20">
        <f>HYPERLINK("https://klasma.github.io/Logging_1473/kartor/A 9985-2023 karta.png", "A 9985-2023")</f>
        <v/>
      </c>
      <c r="Y20">
        <f>HYPERLINK("https://klasma.github.io/Logging_1473/kartor_geotiff/A 9985-2023 georefererad karta.tif", "A 9985-2023")</f>
        <v/>
      </c>
      <c r="AA20">
        <f>HYPERLINK("https://klasma.github.io/Logging_1473/klagomål/A 9985-2023 FSC-klagomål.docx", "A 9985-2023")</f>
        <v/>
      </c>
      <c r="AB20">
        <f>HYPERLINK("https://klasma.github.io/Logging_1473/klagomålsmail/A 9985-2023 FSC-klagomål mail.docx", "A 9985-2023")</f>
        <v/>
      </c>
      <c r="AC20">
        <f>HYPERLINK("https://klasma.github.io/Logging_1473/tillsyn/A 9985-2023 tillsynsbegäran.docx", "A 9985-2023")</f>
        <v/>
      </c>
      <c r="AD20">
        <f>HYPERLINK("https://klasma.github.io/Logging_1473/tillsynsmail/A 9985-2023 tillsynsbegäran mail.docx", "A 9985-2023")</f>
        <v/>
      </c>
    </row>
    <row r="21" ht="15" customHeight="1">
      <c r="A21" t="inlineStr">
        <is>
          <t>A 39894-2023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45166</v>
      </c>
      <c r="E21" s="1" t="n">
        <v>46322</v>
      </c>
      <c r="F21" t="inlineStr">
        <is>
          <t>VÄSTRA GÖTALANDS LÄN</t>
        </is>
      </c>
      <c r="G21" t="inlineStr">
        <is>
          <t>TÖREBODA</t>
        </is>
      </c>
      <c r="I21" t="n">
        <v>2.4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Nattskärra</t>
        </is>
      </c>
      <c r="W21">
        <f>HYPERLINK("https://klasma.github.io/Logging_1473/artfynd/A 39894-2023 artfynd.xlsx", "A 39894-2023")</f>
        <v/>
      </c>
      <c r="X21">
        <f>HYPERLINK("https://klasma.github.io/Logging_1473/kartor/A 39894-2023 karta.png", "A 39894-2023")</f>
        <v/>
      </c>
      <c r="Y21">
        <f>HYPERLINK("https://klasma.github.io/Logging_1473/kartor_geotiff/A 39894-2023 georefererad karta.tif", "A 39894-2023")</f>
        <v/>
      </c>
      <c r="AA21">
        <f>HYPERLINK("https://klasma.github.io/Logging_1473/klagomål/A 39894-2023 FSC-klagomål.docx", "A 39894-2023")</f>
        <v/>
      </c>
      <c r="AB21">
        <f>HYPERLINK("https://klasma.github.io/Logging_1473/klagomålsmail/A 39894-2023 FSC-klagomål mail.docx", "A 39894-2023")</f>
        <v/>
      </c>
      <c r="AC21">
        <f>HYPERLINK("https://klasma.github.io/Logging_1473/tillsyn/A 39894-2023 tillsynsbegäran.docx", "A 39894-2023")</f>
        <v/>
      </c>
      <c r="AD21">
        <f>HYPERLINK("https://klasma.github.io/Logging_1473/tillsynsmail/A 39894-2023 tillsynsbegäran mail.docx", "A 39894-2023")</f>
        <v/>
      </c>
      <c r="AE21">
        <f>HYPERLINK("https://klasma.github.io/Logging_1473/fåglar/A 39894-2023 prioriterade fågelarter.docx", "A 39894-2023")</f>
        <v/>
      </c>
    </row>
    <row r="22" ht="15" customHeight="1">
      <c r="A22" t="inlineStr">
        <is>
          <t>A 49169-2025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45938</v>
      </c>
      <c r="E22" s="1" t="n">
        <v>46322</v>
      </c>
      <c r="F22" t="inlineStr">
        <is>
          <t>VÄSTRA GÖTALANDS LÄN</t>
        </is>
      </c>
      <c r="G22" t="inlineStr">
        <is>
          <t>TÖREBODA</t>
        </is>
      </c>
      <c r="I22" t="n">
        <v>4.5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Havsörn</t>
        </is>
      </c>
      <c r="W22">
        <f>HYPERLINK("https://klasma.github.io/Logging_1473/artfynd/A 49169-2025 artfynd.xlsx", "A 49169-2025")</f>
        <v/>
      </c>
      <c r="X22">
        <f>HYPERLINK("https://klasma.github.io/Logging_1473/kartor/A 49169-2025 karta.png", "A 49169-2025")</f>
        <v/>
      </c>
      <c r="Y22">
        <f>HYPERLINK("https://klasma.github.io/Logging_1473/kartor_geotiff/A 49169-2025 georefererad karta.tif", "A 49169-2025")</f>
        <v/>
      </c>
      <c r="AA22">
        <f>HYPERLINK("https://klasma.github.io/Logging_1473/klagomål/A 49169-2025 FSC-klagomål.docx", "A 49169-2025")</f>
        <v/>
      </c>
      <c r="AB22">
        <f>HYPERLINK("https://klasma.github.io/Logging_1473/klagomålsmail/A 49169-2025 FSC-klagomål mail.docx", "A 49169-2025")</f>
        <v/>
      </c>
      <c r="AC22">
        <f>HYPERLINK("https://klasma.github.io/Logging_1473/tillsyn/A 49169-2025 tillsynsbegäran.docx", "A 49169-2025")</f>
        <v/>
      </c>
      <c r="AD22">
        <f>HYPERLINK("https://klasma.github.io/Logging_1473/tillsynsmail/A 49169-2025 tillsynsbegäran mail.docx", "A 49169-2025")</f>
        <v/>
      </c>
      <c r="AE22">
        <f>HYPERLINK("https://klasma.github.io/Logging_1473/fåglar/A 49169-2025 prioriterade fågelarter.docx", "A 49169-2025")</f>
        <v/>
      </c>
    </row>
    <row r="23" ht="15" customHeight="1">
      <c r="A23" t="inlineStr">
        <is>
          <t>A 12168-2025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45729</v>
      </c>
      <c r="E23" s="1" t="n">
        <v>46322</v>
      </c>
      <c r="F23" t="inlineStr">
        <is>
          <t>VÄSTRA GÖTALANDS LÄN</t>
        </is>
      </c>
      <c r="G23" t="inlineStr">
        <is>
          <t>TÖREBODA</t>
        </is>
      </c>
      <c r="I23" t="n">
        <v>2.1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Spillkråka</t>
        </is>
      </c>
      <c r="W23">
        <f>HYPERLINK("https://klasma.github.io/Logging_1473/artfynd/A 12168-2025 artfynd.xlsx", "A 12168-2025")</f>
        <v/>
      </c>
      <c r="X23">
        <f>HYPERLINK("https://klasma.github.io/Logging_1473/kartor/A 12168-2025 karta.png", "A 12168-2025")</f>
        <v/>
      </c>
      <c r="Y23">
        <f>HYPERLINK("https://klasma.github.io/Logging_1473/kartor_geotiff/A 12168-2025 georefererad karta.tif", "A 12168-2025")</f>
        <v/>
      </c>
      <c r="AA23">
        <f>HYPERLINK("https://klasma.github.io/Logging_1473/klagomål/A 12168-2025 FSC-klagomål.docx", "A 12168-2025")</f>
        <v/>
      </c>
      <c r="AB23">
        <f>HYPERLINK("https://klasma.github.io/Logging_1473/klagomålsmail/A 12168-2025 FSC-klagomål mail.docx", "A 12168-2025")</f>
        <v/>
      </c>
      <c r="AC23">
        <f>HYPERLINK("https://klasma.github.io/Logging_1473/tillsyn/A 12168-2025 tillsynsbegäran.docx", "A 12168-2025")</f>
        <v/>
      </c>
      <c r="AD23">
        <f>HYPERLINK("https://klasma.github.io/Logging_1473/tillsynsmail/A 12168-2025 tillsynsbegäran mail.docx", "A 12168-2025")</f>
        <v/>
      </c>
      <c r="AE23">
        <f>HYPERLINK("https://klasma.github.io/Logging_1473/fåglar/A 12168-2025 prioriterade fågelarter.docx", "A 12168-2025")</f>
        <v/>
      </c>
    </row>
    <row r="24" ht="15" customHeight="1">
      <c r="A24" t="inlineStr">
        <is>
          <t>A 58097-2024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45632</v>
      </c>
      <c r="E24" s="1" t="n">
        <v>46322</v>
      </c>
      <c r="F24" t="inlineStr">
        <is>
          <t>VÄSTRA GÖTALANDS LÄN</t>
        </is>
      </c>
      <c r="G24" t="inlineStr">
        <is>
          <t>TÖREBODA</t>
        </is>
      </c>
      <c r="I24" t="n">
        <v>8.6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Vattenfladdermus</t>
        </is>
      </c>
      <c r="W24">
        <f>HYPERLINK("https://klasma.github.io/Logging_1473/artfynd/A 58097-2024 artfynd.xlsx", "A 58097-2024")</f>
        <v/>
      </c>
      <c r="X24">
        <f>HYPERLINK("https://klasma.github.io/Logging_1473/kartor/A 58097-2024 karta.png", "A 58097-2024")</f>
        <v/>
      </c>
      <c r="Y24">
        <f>HYPERLINK("https://klasma.github.io/Logging_1473/kartor_geotiff/A 58097-2024 georefererad karta.tif", "A 58097-2024")</f>
        <v/>
      </c>
      <c r="AA24">
        <f>HYPERLINK("https://klasma.github.io/Logging_1473/klagomål/A 58097-2024 FSC-klagomål.docx", "A 58097-2024")</f>
        <v/>
      </c>
      <c r="AB24">
        <f>HYPERLINK("https://klasma.github.io/Logging_1473/klagomålsmail/A 58097-2024 FSC-klagomål mail.docx", "A 58097-2024")</f>
        <v/>
      </c>
      <c r="AC24">
        <f>HYPERLINK("https://klasma.github.io/Logging_1473/tillsyn/A 58097-2024 tillsynsbegäran.docx", "A 58097-2024")</f>
        <v/>
      </c>
      <c r="AD24">
        <f>HYPERLINK("https://klasma.github.io/Logging_1473/tillsynsmail/A 58097-2024 tillsynsbegäran mail.docx", "A 58097-2024")</f>
        <v/>
      </c>
    </row>
    <row r="25" ht="15" customHeight="1">
      <c r="A25" t="inlineStr">
        <is>
          <t>A 55174-2024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45621</v>
      </c>
      <c r="E25" s="1" t="n">
        <v>46322</v>
      </c>
      <c r="F25" t="inlineStr">
        <is>
          <t>VÄSTRA GÖTALANDS LÄN</t>
        </is>
      </c>
      <c r="G25" t="inlineStr">
        <is>
          <t>TÖREBODA</t>
        </is>
      </c>
      <c r="I25" t="n">
        <v>5.4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Västlig hakmossa</t>
        </is>
      </c>
      <c r="W25">
        <f>HYPERLINK("https://klasma.github.io/Logging_1473/artfynd/A 55174-2024 artfynd.xlsx", "A 55174-2024")</f>
        <v/>
      </c>
      <c r="X25">
        <f>HYPERLINK("https://klasma.github.io/Logging_1473/kartor/A 55174-2024 karta.png", "A 55174-2024")</f>
        <v/>
      </c>
      <c r="Y25">
        <f>HYPERLINK("https://klasma.github.io/Logging_1473/kartor_geotiff/A 55174-2024 georefererad karta.tif", "A 55174-2024")</f>
        <v/>
      </c>
      <c r="AA25">
        <f>HYPERLINK("https://klasma.github.io/Logging_1473/klagomål/A 55174-2024 FSC-klagomål.docx", "A 55174-2024")</f>
        <v/>
      </c>
      <c r="AB25">
        <f>HYPERLINK("https://klasma.github.io/Logging_1473/klagomålsmail/A 55174-2024 FSC-klagomål mail.docx", "A 55174-2024")</f>
        <v/>
      </c>
      <c r="AC25">
        <f>HYPERLINK("https://klasma.github.io/Logging_1473/tillsyn/A 55174-2024 tillsynsbegäran.docx", "A 55174-2024")</f>
        <v/>
      </c>
      <c r="AD25">
        <f>HYPERLINK("https://klasma.github.io/Logging_1473/tillsynsmail/A 55174-2024 tillsynsbegäran mail.docx", "A 55174-2024")</f>
        <v/>
      </c>
    </row>
    <row r="26" ht="15" customHeight="1">
      <c r="A26" t="inlineStr">
        <is>
          <t>A 17540-2025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45757</v>
      </c>
      <c r="E26" s="1" t="n">
        <v>46322</v>
      </c>
      <c r="F26" t="inlineStr">
        <is>
          <t>VÄSTRA GÖTALANDS LÄN</t>
        </is>
      </c>
      <c r="G26" t="inlineStr">
        <is>
          <t>TÖREBODA</t>
        </is>
      </c>
      <c r="I26" t="n">
        <v>3.5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Vattenfladdermus</t>
        </is>
      </c>
      <c r="W26">
        <f>HYPERLINK("https://klasma.github.io/Logging_1473/artfynd/A 17540-2025 artfynd.xlsx", "A 17540-2025")</f>
        <v/>
      </c>
      <c r="X26">
        <f>HYPERLINK("https://klasma.github.io/Logging_1473/kartor/A 17540-2025 karta.png", "A 17540-2025")</f>
        <v/>
      </c>
      <c r="Y26">
        <f>HYPERLINK("https://klasma.github.io/Logging_1473/kartor_geotiff/A 17540-2025 georefererad karta.tif", "A 17540-2025")</f>
        <v/>
      </c>
      <c r="AA26">
        <f>HYPERLINK("https://klasma.github.io/Logging_1473/klagomål/A 17540-2025 FSC-klagomål.docx", "A 17540-2025")</f>
        <v/>
      </c>
      <c r="AB26">
        <f>HYPERLINK("https://klasma.github.io/Logging_1473/klagomålsmail/A 17540-2025 FSC-klagomål mail.docx", "A 17540-2025")</f>
        <v/>
      </c>
      <c r="AC26">
        <f>HYPERLINK("https://klasma.github.io/Logging_1473/tillsyn/A 17540-2025 tillsynsbegäran.docx", "A 17540-2025")</f>
        <v/>
      </c>
      <c r="AD26">
        <f>HYPERLINK("https://klasma.github.io/Logging_1473/tillsynsmail/A 17540-2025 tillsynsbegäran mail.docx", "A 17540-2025")</f>
        <v/>
      </c>
    </row>
    <row r="27" ht="15" customHeight="1">
      <c r="A27" t="inlineStr">
        <is>
          <t>A 14755-2025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45742</v>
      </c>
      <c r="E27" s="1" t="n">
        <v>46322</v>
      </c>
      <c r="F27" t="inlineStr">
        <is>
          <t>VÄSTRA GÖTALANDS LÄN</t>
        </is>
      </c>
      <c r="G27" t="inlineStr">
        <is>
          <t>TÖREBODA</t>
        </is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</v>
      </c>
      <c r="V27" s="2" t="inlineStr">
        <is>
          <t>Mattlummer</t>
        </is>
      </c>
      <c r="W27">
        <f>HYPERLINK("https://klasma.github.io/Logging_1473/artfynd/A 14755-2025 artfynd.xlsx", "A 14755-2025")</f>
        <v/>
      </c>
      <c r="X27">
        <f>HYPERLINK("https://klasma.github.io/Logging_1473/kartor/A 14755-2025 karta.png", "A 14755-2025")</f>
        <v/>
      </c>
      <c r="Y27">
        <f>HYPERLINK("https://klasma.github.io/Logging_1473/kartor_geotiff/A 14755-2025 georefererad karta.tif", "A 14755-2025")</f>
        <v/>
      </c>
      <c r="AA27">
        <f>HYPERLINK("https://klasma.github.io/Logging_1473/klagomål/A 14755-2025 FSC-klagomål.docx", "A 14755-2025")</f>
        <v/>
      </c>
      <c r="AB27">
        <f>HYPERLINK("https://klasma.github.io/Logging_1473/klagomålsmail/A 14755-2025 FSC-klagomål mail.docx", "A 14755-2025")</f>
        <v/>
      </c>
      <c r="AC27">
        <f>HYPERLINK("https://klasma.github.io/Logging_1473/tillsyn/A 14755-2025 tillsynsbegäran.docx", "A 14755-2025")</f>
        <v/>
      </c>
      <c r="AD27">
        <f>HYPERLINK("https://klasma.github.io/Logging_1473/tillsynsmail/A 14755-2025 tillsynsbegäran mail.docx", "A 14755-2025")</f>
        <v/>
      </c>
    </row>
    <row r="28" ht="15" customHeight="1">
      <c r="A28" t="inlineStr">
        <is>
          <t>A 1591-2023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44937</v>
      </c>
      <c r="E28" s="1" t="n">
        <v>46322</v>
      </c>
      <c r="F28" t="inlineStr">
        <is>
          <t>VÄSTRA GÖTALANDS LÄN</t>
        </is>
      </c>
      <c r="G28" t="inlineStr">
        <is>
          <t>TÖREBODA</t>
        </is>
      </c>
      <c r="I28" t="n">
        <v>10.1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Grantaggsvamp</t>
        </is>
      </c>
      <c r="W28">
        <f>HYPERLINK("https://klasma.github.io/Logging_1473/artfynd/A 1591-2023 artfynd.xlsx", "A 1591-2023")</f>
        <v/>
      </c>
      <c r="X28">
        <f>HYPERLINK("https://klasma.github.io/Logging_1473/kartor/A 1591-2023 karta.png", "A 1591-2023")</f>
        <v/>
      </c>
      <c r="Y28">
        <f>HYPERLINK("https://klasma.github.io/Logging_1473/kartor_geotiff/A 1591-2023 georefererad karta.tif", "A 1591-2023")</f>
        <v/>
      </c>
      <c r="AA28">
        <f>HYPERLINK("https://klasma.github.io/Logging_1473/klagomål/A 1591-2023 FSC-klagomål.docx", "A 1591-2023")</f>
        <v/>
      </c>
      <c r="AB28">
        <f>HYPERLINK("https://klasma.github.io/Logging_1473/klagomålsmail/A 1591-2023 FSC-klagomål mail.docx", "A 1591-2023")</f>
        <v/>
      </c>
      <c r="AC28">
        <f>HYPERLINK("https://klasma.github.io/Logging_1473/tillsyn/A 1591-2023 tillsynsbegäran.docx", "A 1591-2023")</f>
        <v/>
      </c>
      <c r="AD28">
        <f>HYPERLINK("https://klasma.github.io/Logging_1473/tillsynsmail/A 1591-2023 tillsynsbegäran mail.docx", "A 1591-2023")</f>
        <v/>
      </c>
    </row>
    <row r="29" ht="15" customHeight="1">
      <c r="A29" t="inlineStr">
        <is>
          <t>A 30816-2026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46212</v>
      </c>
      <c r="E29" s="1" t="n">
        <v>46322</v>
      </c>
      <c r="F29" t="inlineStr">
        <is>
          <t>VÄSTRA GÖTALANDS LÄN</t>
        </is>
      </c>
      <c r="G29" t="inlineStr">
        <is>
          <t>TÖREBODA</t>
        </is>
      </c>
      <c r="H29" t="inlineStr">
        <is>
          <t>Kyrkan</t>
        </is>
      </c>
      <c r="I29" t="n">
        <v>6.6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Havsörn</t>
        </is>
      </c>
      <c r="W29">
        <f>HYPERLINK("https://klasma.github.io/Logging_1473/artfynd/A 30816-2026 artfynd.xlsx", "A 30816-2026")</f>
        <v/>
      </c>
      <c r="X29">
        <f>HYPERLINK("https://klasma.github.io/Logging_1473/kartor/A 30816-2026 karta.png", "A 30816-2026")</f>
        <v/>
      </c>
      <c r="Y29">
        <f>HYPERLINK("https://klasma.github.io/Logging_1473/kartor_geotiff/A 30816-2026 georefererad karta.tif", "A 30816-2026")</f>
        <v/>
      </c>
      <c r="AA29">
        <f>HYPERLINK("https://klasma.github.io/Logging_1473/klagomål/A 30816-2026 FSC-klagomål.docx", "A 30816-2026")</f>
        <v/>
      </c>
      <c r="AB29">
        <f>HYPERLINK("https://klasma.github.io/Logging_1473/klagomålsmail/A 30816-2026 FSC-klagomål mail.docx", "A 30816-2026")</f>
        <v/>
      </c>
      <c r="AC29">
        <f>HYPERLINK("https://klasma.github.io/Logging_1473/tillsyn/A 30816-2026 tillsynsbegäran.docx", "A 30816-2026")</f>
        <v/>
      </c>
      <c r="AD29">
        <f>HYPERLINK("https://klasma.github.io/Logging_1473/tillsynsmail/A 30816-2026 tillsynsbegäran mail.docx", "A 30816-2026")</f>
        <v/>
      </c>
      <c r="AE29">
        <f>HYPERLINK("https://klasma.github.io/Logging_1473/fåglar/A 30816-2026 prioriterade fågelarter.docx", "A 30816-2026")</f>
        <v/>
      </c>
    </row>
    <row r="30" ht="15" customHeight="1">
      <c r="A30" t="inlineStr">
        <is>
          <t>A 6160-2023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44964</v>
      </c>
      <c r="E30" s="1" t="n">
        <v>46322</v>
      </c>
      <c r="F30" t="inlineStr">
        <is>
          <t>VÄSTRA GÖTALANDS LÄN</t>
        </is>
      </c>
      <c r="G30" t="inlineStr">
        <is>
          <t>TÖREBODA</t>
        </is>
      </c>
      <c r="I30" t="n">
        <v>1.6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Havsörn</t>
        </is>
      </c>
      <c r="W30">
        <f>HYPERLINK("https://klasma.github.io/Logging_1473/artfynd/A 6160-2023 artfynd.xlsx", "A 6160-2023")</f>
        <v/>
      </c>
      <c r="X30">
        <f>HYPERLINK("https://klasma.github.io/Logging_1473/kartor/A 6160-2023 karta.png", "A 6160-2023")</f>
        <v/>
      </c>
      <c r="Y30">
        <f>HYPERLINK("https://klasma.github.io/Logging_1473/kartor_geotiff/A 6160-2023 georefererad karta.tif", "A 6160-2023")</f>
        <v/>
      </c>
      <c r="AA30">
        <f>HYPERLINK("https://klasma.github.io/Logging_1473/klagomål/A 6160-2023 FSC-klagomål.docx", "A 6160-2023")</f>
        <v/>
      </c>
      <c r="AB30">
        <f>HYPERLINK("https://klasma.github.io/Logging_1473/klagomålsmail/A 6160-2023 FSC-klagomål mail.docx", "A 6160-2023")</f>
        <v/>
      </c>
      <c r="AC30">
        <f>HYPERLINK("https://klasma.github.io/Logging_1473/tillsyn/A 6160-2023 tillsynsbegäran.docx", "A 6160-2023")</f>
        <v/>
      </c>
      <c r="AD30">
        <f>HYPERLINK("https://klasma.github.io/Logging_1473/tillsynsmail/A 6160-2023 tillsynsbegäran mail.docx", "A 6160-2023")</f>
        <v/>
      </c>
      <c r="AE30">
        <f>HYPERLINK("https://klasma.github.io/Logging_1473/fåglar/A 6160-2023 prioriterade fågelarter.docx", "A 6160-2023")</f>
        <v/>
      </c>
    </row>
    <row r="31" ht="15" customHeight="1">
      <c r="A31" t="inlineStr">
        <is>
          <t>A 7772-2022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44608</v>
      </c>
      <c r="E31" s="1" t="n">
        <v>46322</v>
      </c>
      <c r="F31" t="inlineStr">
        <is>
          <t>VÄSTRA GÖTALANDS LÄN</t>
        </is>
      </c>
      <c r="G31" t="inlineStr">
        <is>
          <t>TÖREBODA</t>
        </is>
      </c>
      <c r="I31" t="n">
        <v>2.6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2</v>
      </c>
      <c r="V31" s="2" t="inlineStr">
        <is>
          <t>Revlummer</t>
        </is>
      </c>
      <c r="W31">
        <f>HYPERLINK("https://klasma.github.io/Logging_1473/artfynd/A 7772-2022 artfynd.xlsx", "A 7772-2022")</f>
        <v/>
      </c>
      <c r="X31">
        <f>HYPERLINK("https://klasma.github.io/Logging_1473/kartor/A 7772-2022 karta.png", "A 7772-2022")</f>
        <v/>
      </c>
      <c r="Y31">
        <f>HYPERLINK("https://klasma.github.io/Logging_1473/kartor_geotiff/A 7772-2022 georefererad karta.tif", "A 7772-2022")</f>
        <v/>
      </c>
      <c r="AA31">
        <f>HYPERLINK("https://klasma.github.io/Logging_1473/klagomål/A 7772-2022 FSC-klagomål.docx", "A 7772-2022")</f>
        <v/>
      </c>
      <c r="AB31">
        <f>HYPERLINK("https://klasma.github.io/Logging_1473/klagomålsmail/A 7772-2022 FSC-klagomål mail.docx", "A 7772-2022")</f>
        <v/>
      </c>
      <c r="AC31">
        <f>HYPERLINK("https://klasma.github.io/Logging_1473/tillsyn/A 7772-2022 tillsynsbegäran.docx", "A 7772-2022")</f>
        <v/>
      </c>
      <c r="AD31">
        <f>HYPERLINK("https://klasma.github.io/Logging_1473/tillsynsmail/A 7772-2022 tillsynsbegäran mail.docx", "A 7772-2022")</f>
        <v/>
      </c>
    </row>
    <row r="32" ht="15" customHeight="1">
      <c r="A32" t="inlineStr">
        <is>
          <t>A 8266-2022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44610</v>
      </c>
      <c r="E32" s="1" t="n">
        <v>46322</v>
      </c>
      <c r="F32" t="inlineStr">
        <is>
          <t>VÄSTRA GÖTALANDS LÄN</t>
        </is>
      </c>
      <c r="G32" t="inlineStr">
        <is>
          <t>TÖREBODA</t>
        </is>
      </c>
      <c r="H32" t="inlineStr">
        <is>
          <t>Sveaskog</t>
        </is>
      </c>
      <c r="I32" t="n">
        <v>0.5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Dofttaggsvamp</t>
        </is>
      </c>
      <c r="W32">
        <f>HYPERLINK("https://klasma.github.io/Logging_1473/artfynd/A 8266-2022 artfynd.xlsx", "A 8266-2022")</f>
        <v/>
      </c>
      <c r="X32">
        <f>HYPERLINK("https://klasma.github.io/Logging_1473/kartor/A 8266-2022 karta.png", "A 8266-2022")</f>
        <v/>
      </c>
      <c r="Y32">
        <f>HYPERLINK("https://klasma.github.io/Logging_1473/kartor_geotiff/A 8266-2022 georefererad karta.tif", "A 8266-2022")</f>
        <v/>
      </c>
      <c r="AA32">
        <f>HYPERLINK("https://klasma.github.io/Logging_1473/klagomål/A 8266-2022 FSC-klagomål.docx", "A 8266-2022")</f>
        <v/>
      </c>
      <c r="AB32">
        <f>HYPERLINK("https://klasma.github.io/Logging_1473/klagomålsmail/A 8266-2022 FSC-klagomål mail.docx", "A 8266-2022")</f>
        <v/>
      </c>
      <c r="AC32">
        <f>HYPERLINK("https://klasma.github.io/Logging_1473/tillsyn/A 8266-2022 tillsynsbegäran.docx", "A 8266-2022")</f>
        <v/>
      </c>
      <c r="AD32">
        <f>HYPERLINK("https://klasma.github.io/Logging_1473/tillsynsmail/A 8266-2022 tillsynsbegäran mail.docx", "A 8266-2022")</f>
        <v/>
      </c>
    </row>
    <row r="33" ht="15" customHeight="1">
      <c r="A33" t="inlineStr">
        <is>
          <t>A 43755-2026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46316</v>
      </c>
      <c r="E33" s="1" t="n">
        <v>46322</v>
      </c>
      <c r="F33" t="inlineStr">
        <is>
          <t>VÄSTRA GÖTALANDS LÄN</t>
        </is>
      </c>
      <c r="G33" t="inlineStr">
        <is>
          <t>TÖREBODA</t>
        </is>
      </c>
      <c r="H33" t="inlineStr">
        <is>
          <t>Övriga statliga verk och myndigheter</t>
        </is>
      </c>
      <c r="I33" t="n">
        <v>2.8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4</v>
      </c>
      <c r="U33" t="n">
        <v>0</v>
      </c>
      <c r="V33" s="2" t="inlineStr">
        <is>
          <t>Nordfladdermus</t>
        </is>
      </c>
      <c r="W33">
        <f>HYPERLINK("https://klasma.github.io/Logging_1473/artfynd/A 43755-2026 artfynd.xlsx", "A 43755-2026")</f>
        <v/>
      </c>
      <c r="X33">
        <f>HYPERLINK("https://klasma.github.io/Logging_1473/kartor/A 43755-2026 karta.png", "A 43755-2026")</f>
        <v/>
      </c>
      <c r="Y33">
        <f>HYPERLINK("https://klasma.github.io/Logging_1473/kartor_geotiff/A 43755-2026 georefererad karta.tif", "A 43755-2026")</f>
        <v/>
      </c>
      <c r="AA33">
        <f>HYPERLINK("https://klasma.github.io/Logging_1473/klagomål/A 43755-2026 FSC-klagomål.docx", "A 43755-2026")</f>
        <v/>
      </c>
      <c r="AB33">
        <f>HYPERLINK("https://klasma.github.io/Logging_1473/klagomålsmail/A 43755-2026 FSC-klagomål mail.docx", "A 43755-2026")</f>
        <v/>
      </c>
      <c r="AC33">
        <f>HYPERLINK("https://klasma.github.io/Logging_1473/tillsyn/A 43755-2026 tillsynsbegäran.docx", "A 43755-2026")</f>
        <v/>
      </c>
      <c r="AD33">
        <f>HYPERLINK("https://klasma.github.io/Logging_1473/tillsynsmail/A 43755-2026 tillsynsbegäran mail.docx", "A 43755-2026")</f>
        <v/>
      </c>
    </row>
    <row r="34" ht="15" customHeight="1">
      <c r="A34" t="inlineStr">
        <is>
          <t>A 37240-2026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46274</v>
      </c>
      <c r="E34" s="1" t="n">
        <v>46322</v>
      </c>
      <c r="F34" t="inlineStr">
        <is>
          <t>VÄSTRA GÖTALANDS LÄN</t>
        </is>
      </c>
      <c r="G34" t="inlineStr">
        <is>
          <t>TÖREBODA</t>
        </is>
      </c>
      <c r="I34" t="n">
        <v>1.5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s="2" t="inlineStr">
        <is>
          <t>Ask</t>
        </is>
      </c>
      <c r="W34">
        <f>HYPERLINK("https://klasma.github.io/Logging_1473/artfynd/A 37240-2026 artfynd.xlsx", "A 37240-2026")</f>
        <v/>
      </c>
      <c r="X34">
        <f>HYPERLINK("https://klasma.github.io/Logging_1473/kartor/A 37240-2026 karta.png", "A 37240-2026")</f>
        <v/>
      </c>
      <c r="Y34">
        <f>HYPERLINK("https://klasma.github.io/Logging_1473/kartor_geotiff/A 37240-2026 georefererad karta.tif", "A 37240-2026")</f>
        <v/>
      </c>
      <c r="AA34">
        <f>HYPERLINK("https://klasma.github.io/Logging_1473/klagomål/A 37240-2026 FSC-klagomål.docx", "A 37240-2026")</f>
        <v/>
      </c>
      <c r="AB34">
        <f>HYPERLINK("https://klasma.github.io/Logging_1473/klagomålsmail/A 37240-2026 FSC-klagomål mail.docx", "A 37240-2026")</f>
        <v/>
      </c>
      <c r="AC34">
        <f>HYPERLINK("https://klasma.github.io/Logging_1473/tillsyn/A 37240-2026 tillsynsbegäran.docx", "A 37240-2026")</f>
        <v/>
      </c>
      <c r="AD34">
        <f>HYPERLINK("https://klasma.github.io/Logging_1473/tillsynsmail/A 37240-2026 tillsynsbegäran mail.docx", "A 37240-2026")</f>
        <v/>
      </c>
    </row>
    <row r="35" ht="15" customHeight="1">
      <c r="A35" t="inlineStr">
        <is>
          <t>S 812-2023</t>
        </is>
      </c>
      <c r="B35" t="inlineStr">
        <is>
          <t>samrådsanmälan</t>
        </is>
      </c>
      <c r="C35" t="inlineStr">
        <is>
          <t>Askåterföring</t>
        </is>
      </c>
      <c r="D35" s="1" t="n">
        <v>44986</v>
      </c>
      <c r="E35" s="1" t="n">
        <v>46322</v>
      </c>
      <c r="F35" t="inlineStr">
        <is>
          <t>VÄSTRA GÖTALANDS LÄN</t>
        </is>
      </c>
      <c r="G35" t="inlineStr">
        <is>
          <t>TÖREBODA</t>
        </is>
      </c>
      <c r="H35" t="inlineStr">
        <is>
          <t>Kyrkan</t>
        </is>
      </c>
      <c r="I35" t="n">
        <v>52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Revlummer</t>
        </is>
      </c>
      <c r="W35">
        <f>HYPERLINK("https://klasma.github.io/Logging_1473/artfynd/S 812-2023 artfynd.xlsx", "S 812-2023")</f>
        <v/>
      </c>
      <c r="X35">
        <f>HYPERLINK("https://klasma.github.io/Logging_1473/kartor/S 812-2023 karta.png", "S 812-2023")</f>
        <v/>
      </c>
      <c r="Y35">
        <f>HYPERLINK("https://klasma.github.io/Logging_1473/kartor_geotiff/S 812-2023 georefererad karta.tif", "S 812-2023")</f>
        <v/>
      </c>
      <c r="AA35">
        <f>HYPERLINK("https://klasma.github.io/Logging_1473/klagomål/S 812-2023 FSC-klagomål.docx", "S 812-2023")</f>
        <v/>
      </c>
      <c r="AB35">
        <f>HYPERLINK("https://klasma.github.io/Logging_1473/klagomålsmail/S 812-2023 FSC-klagomål mail.docx", "S 812-2023")</f>
        <v/>
      </c>
      <c r="AC35">
        <f>HYPERLINK("https://klasma.github.io/Logging_1473/tillsyn/S 812-2023 tillsynsbegäran.docx", "S 812-2023")</f>
        <v/>
      </c>
      <c r="AD35">
        <f>HYPERLINK("https://klasma.github.io/Logging_1473/tillsynsmail/S 812-2023 tillsynsbegäran mail.docx", "S 812-2023")</f>
        <v/>
      </c>
    </row>
    <row r="36" ht="15" customHeight="1">
      <c r="A36" t="inlineStr">
        <is>
          <t>S 2401-2022</t>
        </is>
      </c>
      <c r="B36" t="inlineStr">
        <is>
          <t>samrådsanmälan</t>
        </is>
      </c>
      <c r="C36" t="inlineStr">
        <is>
          <t>Åtgärd i nyckelbiotop</t>
        </is>
      </c>
      <c r="D36" s="1" t="n">
        <v>44690</v>
      </c>
      <c r="E36" s="1" t="n">
        <v>46322</v>
      </c>
      <c r="F36" t="inlineStr">
        <is>
          <t>VÄSTRA GÖTALANDS LÄN</t>
        </is>
      </c>
      <c r="G36" t="inlineStr">
        <is>
          <t>TÖREBODA</t>
        </is>
      </c>
      <c r="I36" t="n">
        <v>3.5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4</v>
      </c>
      <c r="U36" t="n">
        <v>0</v>
      </c>
      <c r="V36" s="2" t="inlineStr">
        <is>
          <t>Ask</t>
        </is>
      </c>
      <c r="W36">
        <f>HYPERLINK("https://klasma.github.io/Logging_1473/artfynd/S 2401-2022 artfynd.xlsx", "S 2401-2022")</f>
        <v/>
      </c>
      <c r="X36">
        <f>HYPERLINK("https://klasma.github.io/Logging_1473/kartor/S 2401-2022 karta.png", "S 2401-2022")</f>
        <v/>
      </c>
      <c r="Y36">
        <f>HYPERLINK("https://klasma.github.io/Logging_1473/kartor_geotiff/S 2401-2022 georefererad karta.tif", "S 2401-2022")</f>
        <v/>
      </c>
      <c r="AA36">
        <f>HYPERLINK("https://klasma.github.io/Logging_1473/klagomål/S 2401-2022 FSC-klagomål.docx", "S 2401-2022")</f>
        <v/>
      </c>
      <c r="AB36">
        <f>HYPERLINK("https://klasma.github.io/Logging_1473/klagomålsmail/S 2401-2022 FSC-klagomål mail.docx", "S 2401-2022")</f>
        <v/>
      </c>
      <c r="AC36">
        <f>HYPERLINK("https://klasma.github.io/Logging_1473/tillsyn/S 2401-2022 tillsynsbegäran.docx", "S 2401-2022")</f>
        <v/>
      </c>
      <c r="AD36">
        <f>HYPERLINK("https://klasma.github.io/Logging_1473/tillsynsmail/S 2401-2022 tillsynsbegäran mail.docx", "S 2401-2022")</f>
        <v/>
      </c>
    </row>
    <row r="37" ht="15" customHeight="1">
      <c r="A37" t="inlineStr">
        <is>
          <t>A 63749-2021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44509</v>
      </c>
      <c r="E37" s="1" t="n">
        <v>46322</v>
      </c>
      <c r="F37" t="inlineStr">
        <is>
          <t>VÄSTRA GÖTALANDS LÄN</t>
        </is>
      </c>
      <c r="G37" t="inlineStr">
        <is>
          <t>TÖREBODA</t>
        </is>
      </c>
      <c r="I37" t="n">
        <v>2.8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64052-2021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44508</v>
      </c>
      <c r="E38" s="1" t="n">
        <v>46322</v>
      </c>
      <c r="F38" t="inlineStr">
        <is>
          <t>VÄSTRA GÖTALANDS LÄN</t>
        </is>
      </c>
      <c r="G38" t="inlineStr">
        <is>
          <t>TÖREBODA</t>
        </is>
      </c>
      <c r="I38" t="n">
        <v>2.2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62632-2021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44503</v>
      </c>
      <c r="E39" s="1" t="n">
        <v>46322</v>
      </c>
      <c r="F39" t="inlineStr">
        <is>
          <t>VÄSTRA GÖTALANDS LÄN</t>
        </is>
      </c>
      <c r="G39" t="inlineStr">
        <is>
          <t>TÖREBODA</t>
        </is>
      </c>
      <c r="I39" t="n">
        <v>2.7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62633-2021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44503</v>
      </c>
      <c r="E40" s="1" t="n">
        <v>46322</v>
      </c>
      <c r="F40" t="inlineStr">
        <is>
          <t>VÄSTRA GÖTALANDS LÄN</t>
        </is>
      </c>
      <c r="G40" t="inlineStr">
        <is>
          <t>TÖREBODA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18082-2022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44684</v>
      </c>
      <c r="E41" s="1" t="n">
        <v>46322</v>
      </c>
      <c r="F41" t="inlineStr">
        <is>
          <t>VÄSTRA GÖTALANDS LÄN</t>
        </is>
      </c>
      <c r="G41" t="inlineStr">
        <is>
          <t>TÖREBODA</t>
        </is>
      </c>
      <c r="I41" t="n">
        <v>0.9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25855-2022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44733</v>
      </c>
      <c r="E42" s="1" t="n">
        <v>46322</v>
      </c>
      <c r="F42" t="inlineStr">
        <is>
          <t>VÄSTRA GÖTALANDS LÄN</t>
        </is>
      </c>
      <c r="G42" t="inlineStr">
        <is>
          <t>TÖREBODA</t>
        </is>
      </c>
      <c r="I42" t="n">
        <v>1.3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26865-2022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44740</v>
      </c>
      <c r="E43" s="1" t="n">
        <v>46322</v>
      </c>
      <c r="F43" t="inlineStr">
        <is>
          <t>VÄSTRA GÖTALANDS LÄN</t>
        </is>
      </c>
      <c r="G43" t="inlineStr">
        <is>
          <t>TÖREBODA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39542-2022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44818</v>
      </c>
      <c r="E44" s="1" t="n">
        <v>46322</v>
      </c>
      <c r="F44" t="inlineStr">
        <is>
          <t>VÄSTRA GÖTALANDS LÄN</t>
        </is>
      </c>
      <c r="G44" t="inlineStr">
        <is>
          <t>TÖREBODA</t>
        </is>
      </c>
      <c r="H44" t="inlineStr">
        <is>
          <t>Kommuner</t>
        </is>
      </c>
      <c r="I44" t="n">
        <v>2.6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24440-2022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44726</v>
      </c>
      <c r="E45" s="1" t="n">
        <v>46322</v>
      </c>
      <c r="F45" t="inlineStr">
        <is>
          <t>VÄSTRA GÖTALANDS LÄN</t>
        </is>
      </c>
      <c r="G45" t="inlineStr">
        <is>
          <t>TÖREBODA</t>
        </is>
      </c>
      <c r="I45" t="n">
        <v>22.2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9438-2022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44616</v>
      </c>
      <c r="E46" s="1" t="n">
        <v>46322</v>
      </c>
      <c r="F46" t="inlineStr">
        <is>
          <t>VÄSTRA GÖTALANDS LÄN</t>
        </is>
      </c>
      <c r="G46" t="inlineStr">
        <is>
          <t>TÖREBODA</t>
        </is>
      </c>
      <c r="H46" t="inlineStr">
        <is>
          <t>Kyrkan</t>
        </is>
      </c>
      <c r="I46" t="n">
        <v>2.8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23024-2022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44719</v>
      </c>
      <c r="E47" s="1" t="n">
        <v>46322</v>
      </c>
      <c r="F47" t="inlineStr">
        <is>
          <t>VÄSTRA GÖTALANDS LÄN</t>
        </is>
      </c>
      <c r="G47" t="inlineStr">
        <is>
          <t>TÖREBODA</t>
        </is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8915-2022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44614</v>
      </c>
      <c r="E48" s="1" t="n">
        <v>46322</v>
      </c>
      <c r="F48" t="inlineStr">
        <is>
          <t>VÄSTRA GÖTALANDS LÄN</t>
        </is>
      </c>
      <c r="G48" t="inlineStr">
        <is>
          <t>TÖREBODA</t>
        </is>
      </c>
      <c r="H48" t="inlineStr">
        <is>
          <t>Kyrkan</t>
        </is>
      </c>
      <c r="I48" t="n">
        <v>18.4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72532-2021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44546</v>
      </c>
      <c r="E49" s="1" t="n">
        <v>46322</v>
      </c>
      <c r="F49" t="inlineStr">
        <is>
          <t>VÄSTRA GÖTALANDS LÄN</t>
        </is>
      </c>
      <c r="G49" t="inlineStr">
        <is>
          <t>TÖREBODA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62339-2021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44503</v>
      </c>
      <c r="E50" s="1" t="n">
        <v>46322</v>
      </c>
      <c r="F50" t="inlineStr">
        <is>
          <t>VÄSTRA GÖTALANDS LÄN</t>
        </is>
      </c>
      <c r="G50" t="inlineStr">
        <is>
          <t>TÖREBODA</t>
        </is>
      </c>
      <c r="I50" t="n">
        <v>5.1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63182-2021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44507</v>
      </c>
      <c r="E51" s="1" t="n">
        <v>46322</v>
      </c>
      <c r="F51" t="inlineStr">
        <is>
          <t>VÄSTRA GÖTALANDS LÄN</t>
        </is>
      </c>
      <c r="G51" t="inlineStr">
        <is>
          <t>TÖREBODA</t>
        </is>
      </c>
      <c r="I51" t="n">
        <v>1.4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23005-2022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44719</v>
      </c>
      <c r="E52" s="1" t="n">
        <v>46322</v>
      </c>
      <c r="F52" t="inlineStr">
        <is>
          <t>VÄSTRA GÖTALANDS LÄN</t>
        </is>
      </c>
      <c r="G52" t="inlineStr">
        <is>
          <t>TÖREBODA</t>
        </is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29560-2022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44754</v>
      </c>
      <c r="E53" s="1" t="n">
        <v>46322</v>
      </c>
      <c r="F53" t="inlineStr">
        <is>
          <t>VÄSTRA GÖTALANDS LÄN</t>
        </is>
      </c>
      <c r="G53" t="inlineStr">
        <is>
          <t>TÖREBODA</t>
        </is>
      </c>
      <c r="H53" t="inlineStr">
        <is>
          <t>Sveaskog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69817-2021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44532</v>
      </c>
      <c r="E54" s="1" t="n">
        <v>46322</v>
      </c>
      <c r="F54" t="inlineStr">
        <is>
          <t>VÄSTRA GÖTALANDS LÄN</t>
        </is>
      </c>
      <c r="G54" t="inlineStr">
        <is>
          <t>TÖREBODA</t>
        </is>
      </c>
      <c r="I54" t="n">
        <v>0.7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6631-2022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44601</v>
      </c>
      <c r="E55" s="1" t="n">
        <v>46322</v>
      </c>
      <c r="F55" t="inlineStr">
        <is>
          <t>VÄSTRA GÖTALANDS LÄN</t>
        </is>
      </c>
      <c r="G55" t="inlineStr">
        <is>
          <t>TÖREBODA</t>
        </is>
      </c>
      <c r="I55" t="n">
        <v>2.8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23018-2022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44719</v>
      </c>
      <c r="E56" s="1" t="n">
        <v>46322</v>
      </c>
      <c r="F56" t="inlineStr">
        <is>
          <t>VÄSTRA GÖTALANDS LÄN</t>
        </is>
      </c>
      <c r="G56" t="inlineStr">
        <is>
          <t>TÖREBODA</t>
        </is>
      </c>
      <c r="I56" t="n">
        <v>2.8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46752-2022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44847</v>
      </c>
      <c r="E57" s="1" t="n">
        <v>46322</v>
      </c>
      <c r="F57" t="inlineStr">
        <is>
          <t>VÄSTRA GÖTALANDS LÄN</t>
        </is>
      </c>
      <c r="G57" t="inlineStr">
        <is>
          <t>TÖREBODA</t>
        </is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46759-2022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44847</v>
      </c>
      <c r="E58" s="1" t="n">
        <v>46322</v>
      </c>
      <c r="F58" t="inlineStr">
        <is>
          <t>VÄSTRA GÖTALANDS LÄN</t>
        </is>
      </c>
      <c r="G58" t="inlineStr">
        <is>
          <t>TÖREBODA</t>
        </is>
      </c>
      <c r="I58" t="n">
        <v>2.1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8921-2022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44614</v>
      </c>
      <c r="E59" s="1" t="n">
        <v>46322</v>
      </c>
      <c r="F59" t="inlineStr">
        <is>
          <t>VÄSTRA GÖTALANDS LÄN</t>
        </is>
      </c>
      <c r="G59" t="inlineStr">
        <is>
          <t>TÖREBODA</t>
        </is>
      </c>
      <c r="H59" t="inlineStr">
        <is>
          <t>Kyrkan</t>
        </is>
      </c>
      <c r="I59" t="n">
        <v>6.6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8859-2022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44614</v>
      </c>
      <c r="E60" s="1" t="n">
        <v>46322</v>
      </c>
      <c r="F60" t="inlineStr">
        <is>
          <t>VÄSTRA GÖTALANDS LÄN</t>
        </is>
      </c>
      <c r="G60" t="inlineStr">
        <is>
          <t>TÖREBODA</t>
        </is>
      </c>
      <c r="H60" t="inlineStr">
        <is>
          <t>Kyrkan</t>
        </is>
      </c>
      <c r="I60" t="n">
        <v>8.5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2385-2022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44579</v>
      </c>
      <c r="E61" s="1" t="n">
        <v>46322</v>
      </c>
      <c r="F61" t="inlineStr">
        <is>
          <t>VÄSTRA GÖTALANDS LÄN</t>
        </is>
      </c>
      <c r="G61" t="inlineStr">
        <is>
          <t>TÖREBODA</t>
        </is>
      </c>
      <c r="I61" t="n">
        <v>2.3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69286-2021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44531</v>
      </c>
      <c r="E62" s="1" t="n">
        <v>46322</v>
      </c>
      <c r="F62" t="inlineStr">
        <is>
          <t>VÄSTRA GÖTALANDS LÄN</t>
        </is>
      </c>
      <c r="G62" t="inlineStr">
        <is>
          <t>TÖREBODA</t>
        </is>
      </c>
      <c r="I62" t="n">
        <v>5.2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47162-2022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44852</v>
      </c>
      <c r="E63" s="1" t="n">
        <v>46322</v>
      </c>
      <c r="F63" t="inlineStr">
        <is>
          <t>VÄSTRA GÖTALANDS LÄN</t>
        </is>
      </c>
      <c r="G63" t="inlineStr">
        <is>
          <t>TÖREBODA</t>
        </is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39634-2022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44818</v>
      </c>
      <c r="E64" s="1" t="n">
        <v>46322</v>
      </c>
      <c r="F64" t="inlineStr">
        <is>
          <t>VÄSTRA GÖTALANDS LÄN</t>
        </is>
      </c>
      <c r="G64" t="inlineStr">
        <is>
          <t>TÖREBODA</t>
        </is>
      </c>
      <c r="H64" t="inlineStr">
        <is>
          <t>Kommuner</t>
        </is>
      </c>
      <c r="I64" t="n">
        <v>3.9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38705-2025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45885</v>
      </c>
      <c r="E65" s="1" t="n">
        <v>46322</v>
      </c>
      <c r="F65" t="inlineStr">
        <is>
          <t>VÄSTRA GÖTALANDS LÄN</t>
        </is>
      </c>
      <c r="G65" t="inlineStr">
        <is>
          <t>TÖREBODA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38706-2025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45885</v>
      </c>
      <c r="E66" s="1" t="n">
        <v>46322</v>
      </c>
      <c r="F66" t="inlineStr">
        <is>
          <t>VÄSTRA GÖTALANDS LÄN</t>
        </is>
      </c>
      <c r="G66" t="inlineStr">
        <is>
          <t>TÖREBODA</t>
        </is>
      </c>
      <c r="I66" t="n">
        <v>1.2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38987-2025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45888</v>
      </c>
      <c r="E67" s="1" t="n">
        <v>46322</v>
      </c>
      <c r="F67" t="inlineStr">
        <is>
          <t>VÄSTRA GÖTALANDS LÄN</t>
        </is>
      </c>
      <c r="G67" t="inlineStr">
        <is>
          <t>TÖREBODA</t>
        </is>
      </c>
      <c r="I67" t="n">
        <v>4.6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22021-2024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45443</v>
      </c>
      <c r="E68" s="1" t="n">
        <v>46322</v>
      </c>
      <c r="F68" t="inlineStr">
        <is>
          <t>VÄSTRA GÖTALANDS LÄN</t>
        </is>
      </c>
      <c r="G68" t="inlineStr">
        <is>
          <t>TÖREBODA</t>
        </is>
      </c>
      <c r="I68" t="n">
        <v>1.8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47322-2022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44853</v>
      </c>
      <c r="E69" s="1" t="n">
        <v>46322</v>
      </c>
      <c r="F69" t="inlineStr">
        <is>
          <t>VÄSTRA GÖTALANDS LÄN</t>
        </is>
      </c>
      <c r="G69" t="inlineStr">
        <is>
          <t>TÖREBODA</t>
        </is>
      </c>
      <c r="H69" t="inlineStr">
        <is>
          <t>Sveaskog</t>
        </is>
      </c>
      <c r="I69" t="n">
        <v>1.6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48491-2022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44858</v>
      </c>
      <c r="E70" s="1" t="n">
        <v>46322</v>
      </c>
      <c r="F70" t="inlineStr">
        <is>
          <t>VÄSTRA GÖTALANDS LÄN</t>
        </is>
      </c>
      <c r="G70" t="inlineStr">
        <is>
          <t>TÖREBODA</t>
        </is>
      </c>
      <c r="I70" t="n">
        <v>1.4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55285-2023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45237</v>
      </c>
      <c r="E71" s="1" t="n">
        <v>46322</v>
      </c>
      <c r="F71" t="inlineStr">
        <is>
          <t>VÄSTRA GÖTALANDS LÄN</t>
        </is>
      </c>
      <c r="G71" t="inlineStr">
        <is>
          <t>TÖREBODA</t>
        </is>
      </c>
      <c r="I71" t="n">
        <v>2.7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38704-2025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45885</v>
      </c>
      <c r="E72" s="1" t="n">
        <v>46322</v>
      </c>
      <c r="F72" t="inlineStr">
        <is>
          <t>VÄSTRA GÖTALANDS LÄN</t>
        </is>
      </c>
      <c r="G72" t="inlineStr">
        <is>
          <t>TÖREBODA</t>
        </is>
      </c>
      <c r="I72" t="n">
        <v>4.5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35448-2024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45531</v>
      </c>
      <c r="E73" s="1" t="n">
        <v>46322</v>
      </c>
      <c r="F73" t="inlineStr">
        <is>
          <t>VÄSTRA GÖTALANDS LÄN</t>
        </is>
      </c>
      <c r="G73" t="inlineStr">
        <is>
          <t>TÖREBODA</t>
        </is>
      </c>
      <c r="I73" t="n">
        <v>2.7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35489-2024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45531</v>
      </c>
      <c r="E74" s="1" t="n">
        <v>46322</v>
      </c>
      <c r="F74" t="inlineStr">
        <is>
          <t>VÄSTRA GÖTALANDS LÄN</t>
        </is>
      </c>
      <c r="G74" t="inlineStr">
        <is>
          <t>TÖREBODA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41627-2022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44827</v>
      </c>
      <c r="E75" s="1" t="n">
        <v>46322</v>
      </c>
      <c r="F75" t="inlineStr">
        <is>
          <t>VÄSTRA GÖTALANDS LÄN</t>
        </is>
      </c>
      <c r="G75" t="inlineStr">
        <is>
          <t>TÖREBODA</t>
        </is>
      </c>
      <c r="I75" t="n">
        <v>2.4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41632-2022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44827</v>
      </c>
      <c r="E76" s="1" t="n">
        <v>46322</v>
      </c>
      <c r="F76" t="inlineStr">
        <is>
          <t>VÄSTRA GÖTALANDS LÄN</t>
        </is>
      </c>
      <c r="G76" t="inlineStr">
        <is>
          <t>TÖREBODA</t>
        </is>
      </c>
      <c r="I76" t="n">
        <v>1.7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24363-2024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45457</v>
      </c>
      <c r="E77" s="1" t="n">
        <v>46322</v>
      </c>
      <c r="F77" t="inlineStr">
        <is>
          <t>VÄSTRA GÖTALANDS LÄN</t>
        </is>
      </c>
      <c r="G77" t="inlineStr">
        <is>
          <t>TÖREBODA</t>
        </is>
      </c>
      <c r="H77" t="inlineStr">
        <is>
          <t>Övriga statliga verk och myndigheter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24381-2023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45076</v>
      </c>
      <c r="E78" s="1" t="n">
        <v>46322</v>
      </c>
      <c r="F78" t="inlineStr">
        <is>
          <t>VÄSTRA GÖTALANDS LÄN</t>
        </is>
      </c>
      <c r="G78" t="inlineStr">
        <is>
          <t>TÖREBODA</t>
        </is>
      </c>
      <c r="I78" t="n">
        <v>4.4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989-2022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44571</v>
      </c>
      <c r="E79" s="1" t="n">
        <v>46322</v>
      </c>
      <c r="F79" t="inlineStr">
        <is>
          <t>VÄSTRA GÖTALANDS LÄN</t>
        </is>
      </c>
      <c r="G79" t="inlineStr">
        <is>
          <t>TÖREBODA</t>
        </is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48973-2023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45209</v>
      </c>
      <c r="E80" s="1" t="n">
        <v>46322</v>
      </c>
      <c r="F80" t="inlineStr">
        <is>
          <t>VÄSTRA GÖTALANDS LÄN</t>
        </is>
      </c>
      <c r="G80" t="inlineStr">
        <is>
          <t>TÖREBODA</t>
        </is>
      </c>
      <c r="I80" t="n">
        <v>4.5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20210-2022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44698</v>
      </c>
      <c r="E81" s="1" t="n">
        <v>46322</v>
      </c>
      <c r="F81" t="inlineStr">
        <is>
          <t>VÄSTRA GÖTALANDS LÄN</t>
        </is>
      </c>
      <c r="G81" t="inlineStr">
        <is>
          <t>TÖREBODA</t>
        </is>
      </c>
      <c r="I81" t="n">
        <v>1.8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39652-2024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45552</v>
      </c>
      <c r="E82" s="1" t="n">
        <v>46322</v>
      </c>
      <c r="F82" t="inlineStr">
        <is>
          <t>VÄSTRA GÖTALANDS LÄN</t>
        </is>
      </c>
      <c r="G82" t="inlineStr">
        <is>
          <t>TÖREBODA</t>
        </is>
      </c>
      <c r="I82" t="n">
        <v>3.9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35238-2023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45145</v>
      </c>
      <c r="E83" s="1" t="n">
        <v>46322</v>
      </c>
      <c r="F83" t="inlineStr">
        <is>
          <t>VÄSTRA GÖTALANDS LÄN</t>
        </is>
      </c>
      <c r="G83" t="inlineStr">
        <is>
          <t>TÖREBODA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57220-2023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45245</v>
      </c>
      <c r="E84" s="1" t="n">
        <v>46322</v>
      </c>
      <c r="F84" t="inlineStr">
        <is>
          <t>VÄSTRA GÖTALANDS LÄN</t>
        </is>
      </c>
      <c r="G84" t="inlineStr">
        <is>
          <t>TÖREBODA</t>
        </is>
      </c>
      <c r="I84" t="n">
        <v>5.2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4435-2023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44956</v>
      </c>
      <c r="E85" s="1" t="n">
        <v>46322</v>
      </c>
      <c r="F85" t="inlineStr">
        <is>
          <t>VÄSTRA GÖTALANDS LÄN</t>
        </is>
      </c>
      <c r="G85" t="inlineStr">
        <is>
          <t>TÖREBODA</t>
        </is>
      </c>
      <c r="I85" t="n">
        <v>1.4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11680-2024</t>
        </is>
      </c>
      <c r="B86" t="inlineStr">
        <is>
          <t>avverkningsanmälan</t>
        </is>
      </c>
      <c r="C86" t="inlineStr">
        <is>
          <t>Avverkning för annat ändamål</t>
        </is>
      </c>
      <c r="D86" s="1" t="n">
        <v>45373</v>
      </c>
      <c r="E86" s="1" t="n">
        <v>46322</v>
      </c>
      <c r="F86" t="inlineStr">
        <is>
          <t>VÄSTRA GÖTALANDS LÄN</t>
        </is>
      </c>
      <c r="G86" t="inlineStr">
        <is>
          <t>TÖREBODA</t>
        </is>
      </c>
      <c r="I86" t="n">
        <v>12.3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4109-2025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45684</v>
      </c>
      <c r="E87" s="1" t="n">
        <v>46322</v>
      </c>
      <c r="F87" t="inlineStr">
        <is>
          <t>VÄSTRA GÖTALANDS LÄN</t>
        </is>
      </c>
      <c r="G87" t="inlineStr">
        <is>
          <t>TÖREBODA</t>
        </is>
      </c>
      <c r="I87" t="n">
        <v>2.6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62781-2023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45268</v>
      </c>
      <c r="E88" s="1" t="n">
        <v>46322</v>
      </c>
      <c r="F88" t="inlineStr">
        <is>
          <t>VÄSTRA GÖTALANDS LÄN</t>
        </is>
      </c>
      <c r="G88" t="inlineStr">
        <is>
          <t>TÖREBODA</t>
        </is>
      </c>
      <c r="I88" t="n">
        <v>1.7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19723-2023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45051</v>
      </c>
      <c r="E89" s="1" t="n">
        <v>46322</v>
      </c>
      <c r="F89" t="inlineStr">
        <is>
          <t>VÄSTRA GÖTALANDS LÄN</t>
        </is>
      </c>
      <c r="G89" t="inlineStr">
        <is>
          <t>TÖREBODA</t>
        </is>
      </c>
      <c r="H89" t="inlineStr">
        <is>
          <t>Sveaskog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44074-2025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45915</v>
      </c>
      <c r="E90" s="1" t="n">
        <v>46322</v>
      </c>
      <c r="F90" t="inlineStr">
        <is>
          <t>VÄSTRA GÖTALANDS LÄN</t>
        </is>
      </c>
      <c r="G90" t="inlineStr">
        <is>
          <t>TÖREBODA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4666-2024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45328</v>
      </c>
      <c r="E91" s="1" t="n">
        <v>46322</v>
      </c>
      <c r="F91" t="inlineStr">
        <is>
          <t>VÄSTRA GÖTALANDS LÄN</t>
        </is>
      </c>
      <c r="G91" t="inlineStr">
        <is>
          <t>TÖREBODA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43688-2025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45912</v>
      </c>
      <c r="E92" s="1" t="n">
        <v>46322</v>
      </c>
      <c r="F92" t="inlineStr">
        <is>
          <t>VÄSTRA GÖTALANDS LÄN</t>
        </is>
      </c>
      <c r="G92" t="inlineStr">
        <is>
          <t>TÖREBODA</t>
        </is>
      </c>
      <c r="I92" t="n">
        <v>3.8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25908-2025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45803</v>
      </c>
      <c r="E93" s="1" t="n">
        <v>46322</v>
      </c>
      <c r="F93" t="inlineStr">
        <is>
          <t>VÄSTRA GÖTALANDS LÄN</t>
        </is>
      </c>
      <c r="G93" t="inlineStr">
        <is>
          <t>TÖREBODA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56685-2024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45627</v>
      </c>
      <c r="E94" s="1" t="n">
        <v>46322</v>
      </c>
      <c r="F94" t="inlineStr">
        <is>
          <t>VÄSTRA GÖTALANDS LÄN</t>
        </is>
      </c>
      <c r="G94" t="inlineStr">
        <is>
          <t>TÖREBODA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59438-2022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44907</v>
      </c>
      <c r="E95" s="1" t="n">
        <v>46322</v>
      </c>
      <c r="F95" t="inlineStr">
        <is>
          <t>VÄSTRA GÖTALANDS LÄN</t>
        </is>
      </c>
      <c r="G95" t="inlineStr">
        <is>
          <t>TÖREBODA</t>
        </is>
      </c>
      <c r="I95" t="n">
        <v>1.9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45262-2025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45919</v>
      </c>
      <c r="E96" s="1" t="n">
        <v>46322</v>
      </c>
      <c r="F96" t="inlineStr">
        <is>
          <t>VÄSTRA GÖTALANDS LÄN</t>
        </is>
      </c>
      <c r="G96" t="inlineStr">
        <is>
          <t>TÖREBODA</t>
        </is>
      </c>
      <c r="I96" t="n">
        <v>0.7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57974-2022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44900</v>
      </c>
      <c r="E97" s="1" t="n">
        <v>46322</v>
      </c>
      <c r="F97" t="inlineStr">
        <is>
          <t>VÄSTRA GÖTALANDS LÄN</t>
        </is>
      </c>
      <c r="G97" t="inlineStr">
        <is>
          <t>TÖREBODA</t>
        </is>
      </c>
      <c r="I97" t="n">
        <v>2.3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46135-2025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45924</v>
      </c>
      <c r="E98" s="1" t="n">
        <v>46322</v>
      </c>
      <c r="F98" t="inlineStr">
        <is>
          <t>VÄSTRA GÖTALANDS LÄN</t>
        </is>
      </c>
      <c r="G98" t="inlineStr">
        <is>
          <t>TÖREBODA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6446-2025</t>
        </is>
      </c>
      <c r="B99" t="inlineStr">
        <is>
          <t>avverkningsanmälan</t>
        </is>
      </c>
      <c r="C99" t="inlineStr">
        <is>
          <t>Avverkning för annat ändamål</t>
        </is>
      </c>
      <c r="D99" s="1" t="n">
        <v>45699</v>
      </c>
      <c r="E99" s="1" t="n">
        <v>46322</v>
      </c>
      <c r="F99" t="inlineStr">
        <is>
          <t>VÄSTRA GÖTALANDS LÄN</t>
        </is>
      </c>
      <c r="G99" t="inlineStr">
        <is>
          <t>TÖREBODA</t>
        </is>
      </c>
      <c r="I99" t="n">
        <v>1.1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5971-2022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44599</v>
      </c>
      <c r="E100" s="1" t="n">
        <v>46322</v>
      </c>
      <c r="F100" t="inlineStr">
        <is>
          <t>VÄSTRA GÖTALANDS LÄN</t>
        </is>
      </c>
      <c r="G100" t="inlineStr">
        <is>
          <t>TÖREBODA</t>
        </is>
      </c>
      <c r="I100" t="n">
        <v>0.8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23664-2023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45077</v>
      </c>
      <c r="E101" s="1" t="n">
        <v>46322</v>
      </c>
      <c r="F101" t="inlineStr">
        <is>
          <t>VÄSTRA GÖTALANDS LÄN</t>
        </is>
      </c>
      <c r="G101" t="inlineStr">
        <is>
          <t>TÖREBODA</t>
        </is>
      </c>
      <c r="H101" t="inlineStr">
        <is>
          <t>Övriga Aktiebolag</t>
        </is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46972-2025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45929</v>
      </c>
      <c r="E102" s="1" t="n">
        <v>46322</v>
      </c>
      <c r="F102" t="inlineStr">
        <is>
          <t>VÄSTRA GÖTALANDS LÄN</t>
        </is>
      </c>
      <c r="G102" t="inlineStr">
        <is>
          <t>TÖREBODA</t>
        </is>
      </c>
      <c r="I102" t="n">
        <v>1.3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4218-2023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44951</v>
      </c>
      <c r="E103" s="1" t="n">
        <v>46322</v>
      </c>
      <c r="F103" t="inlineStr">
        <is>
          <t>VÄSTRA GÖTALANDS LÄN</t>
        </is>
      </c>
      <c r="G103" t="inlineStr">
        <is>
          <t>TÖREBODA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17497-2025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45757</v>
      </c>
      <c r="E104" s="1" t="n">
        <v>46322</v>
      </c>
      <c r="F104" t="inlineStr">
        <is>
          <t>VÄSTRA GÖTALANDS LÄN</t>
        </is>
      </c>
      <c r="G104" t="inlineStr">
        <is>
          <t>TÖREBODA</t>
        </is>
      </c>
      <c r="I104" t="n">
        <v>49.4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60384-2024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45643</v>
      </c>
      <c r="E105" s="1" t="n">
        <v>46322</v>
      </c>
      <c r="F105" t="inlineStr">
        <is>
          <t>VÄSTRA GÖTALANDS LÄN</t>
        </is>
      </c>
      <c r="G105" t="inlineStr">
        <is>
          <t>TÖREBODA</t>
        </is>
      </c>
      <c r="I105" t="n">
        <v>1.4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15947-2022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44664</v>
      </c>
      <c r="E106" s="1" t="n">
        <v>46322</v>
      </c>
      <c r="F106" t="inlineStr">
        <is>
          <t>VÄSTRA GÖTALANDS LÄN</t>
        </is>
      </c>
      <c r="G106" t="inlineStr">
        <is>
          <t>TÖREBODA</t>
        </is>
      </c>
      <c r="I106" t="n">
        <v>2.2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49088-2025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45937</v>
      </c>
      <c r="E107" s="1" t="n">
        <v>46322</v>
      </c>
      <c r="F107" t="inlineStr">
        <is>
          <t>VÄSTRA GÖTALANDS LÄN</t>
        </is>
      </c>
      <c r="G107" t="inlineStr">
        <is>
          <t>TÖREBODA</t>
        </is>
      </c>
      <c r="H107" t="inlineStr">
        <is>
          <t>Sveaskog</t>
        </is>
      </c>
      <c r="I107" t="n">
        <v>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49171-2025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45938</v>
      </c>
      <c r="E108" s="1" t="n">
        <v>46322</v>
      </c>
      <c r="F108" t="inlineStr">
        <is>
          <t>VÄSTRA GÖTALANDS LÄN</t>
        </is>
      </c>
      <c r="G108" t="inlineStr">
        <is>
          <t>TÖREBODA</t>
        </is>
      </c>
      <c r="I108" t="n">
        <v>4.8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49177-2025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45938</v>
      </c>
      <c r="E109" s="1" t="n">
        <v>46322</v>
      </c>
      <c r="F109" t="inlineStr">
        <is>
          <t>VÄSTRA GÖTALANDS LÄN</t>
        </is>
      </c>
      <c r="G109" t="inlineStr">
        <is>
          <t>TÖREBODA</t>
        </is>
      </c>
      <c r="I109" t="n">
        <v>6.9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12634-2024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45384</v>
      </c>
      <c r="E110" s="1" t="n">
        <v>46322</v>
      </c>
      <c r="F110" t="inlineStr">
        <is>
          <t>VÄSTRA GÖTALANDS LÄN</t>
        </is>
      </c>
      <c r="G110" t="inlineStr">
        <is>
          <t>TÖREBODA</t>
        </is>
      </c>
      <c r="I110" t="n">
        <v>4.3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7122-2024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45344</v>
      </c>
      <c r="E111" s="1" t="n">
        <v>46322</v>
      </c>
      <c r="F111" t="inlineStr">
        <is>
          <t>VÄSTRA GÖTALANDS LÄN</t>
        </is>
      </c>
      <c r="G111" t="inlineStr">
        <is>
          <t>TÖREBODA</t>
        </is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61873-2024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45651</v>
      </c>
      <c r="E112" s="1" t="n">
        <v>46322</v>
      </c>
      <c r="F112" t="inlineStr">
        <is>
          <t>VÄSTRA GÖTALANDS LÄN</t>
        </is>
      </c>
      <c r="G112" t="inlineStr">
        <is>
          <t>TÖREBODA</t>
        </is>
      </c>
      <c r="I112" t="n">
        <v>2.2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38841-2022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44816</v>
      </c>
      <c r="E113" s="1" t="n">
        <v>46322</v>
      </c>
      <c r="F113" t="inlineStr">
        <is>
          <t>VÄSTRA GÖTALANDS LÄN</t>
        </is>
      </c>
      <c r="G113" t="inlineStr">
        <is>
          <t>TÖREBODA</t>
        </is>
      </c>
      <c r="H113" t="inlineStr">
        <is>
          <t>Kyrkan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51889-2024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45607</v>
      </c>
      <c r="E114" s="1" t="n">
        <v>46322</v>
      </c>
      <c r="F114" t="inlineStr">
        <is>
          <t>VÄSTRA GÖTALANDS LÄN</t>
        </is>
      </c>
      <c r="G114" t="inlineStr">
        <is>
          <t>TÖREBODA</t>
        </is>
      </c>
      <c r="I114" t="n">
        <v>1.4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34862-2023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45142</v>
      </c>
      <c r="E115" s="1" t="n">
        <v>46322</v>
      </c>
      <c r="F115" t="inlineStr">
        <is>
          <t>VÄSTRA GÖTALANDS LÄN</t>
        </is>
      </c>
      <c r="G115" t="inlineStr">
        <is>
          <t>TÖREBODA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49085-2025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45937</v>
      </c>
      <c r="E116" s="1" t="n">
        <v>46322</v>
      </c>
      <c r="F116" t="inlineStr">
        <is>
          <t>VÄSTRA GÖTALANDS LÄN</t>
        </is>
      </c>
      <c r="G116" t="inlineStr">
        <is>
          <t>TÖREBODA</t>
        </is>
      </c>
      <c r="H116" t="inlineStr">
        <is>
          <t>Sveaskog</t>
        </is>
      </c>
      <c r="I116" t="n">
        <v>4.1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39189-2023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45166</v>
      </c>
      <c r="E117" s="1" t="n">
        <v>46322</v>
      </c>
      <c r="F117" t="inlineStr">
        <is>
          <t>VÄSTRA GÖTALANDS LÄN</t>
        </is>
      </c>
      <c r="G117" t="inlineStr">
        <is>
          <t>TÖREBODA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27086-2022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44741</v>
      </c>
      <c r="E118" s="1" t="n">
        <v>46322</v>
      </c>
      <c r="F118" t="inlineStr">
        <is>
          <t>VÄSTRA GÖTALANDS LÄN</t>
        </is>
      </c>
      <c r="G118" t="inlineStr">
        <is>
          <t>TÖREBODA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1550-2023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44937</v>
      </c>
      <c r="E119" s="1" t="n">
        <v>46322</v>
      </c>
      <c r="F119" t="inlineStr">
        <is>
          <t>VÄSTRA GÖTALANDS LÄN</t>
        </is>
      </c>
      <c r="G119" t="inlineStr">
        <is>
          <t>TÖREBODA</t>
        </is>
      </c>
      <c r="H119" t="inlineStr">
        <is>
          <t>Övriga statliga verk och myndigheter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2128-2024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45309</v>
      </c>
      <c r="E120" s="1" t="n">
        <v>46322</v>
      </c>
      <c r="F120" t="inlineStr">
        <is>
          <t>VÄSTRA GÖTALANDS LÄN</t>
        </is>
      </c>
      <c r="G120" t="inlineStr">
        <is>
          <t>TÖREBODA</t>
        </is>
      </c>
      <c r="I120" t="n">
        <v>2.5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19874-2022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44697</v>
      </c>
      <c r="E121" s="1" t="n">
        <v>46322</v>
      </c>
      <c r="F121" t="inlineStr">
        <is>
          <t>VÄSTRA GÖTALANDS LÄN</t>
        </is>
      </c>
      <c r="G121" t="inlineStr">
        <is>
          <t>TÖREBODA</t>
        </is>
      </c>
      <c r="I121" t="n">
        <v>2.3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35438-2024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45531</v>
      </c>
      <c r="E122" s="1" t="n">
        <v>46322</v>
      </c>
      <c r="F122" t="inlineStr">
        <is>
          <t>VÄSTRA GÖTALANDS LÄN</t>
        </is>
      </c>
      <c r="G122" t="inlineStr">
        <is>
          <t>TÖREBODA</t>
        </is>
      </c>
      <c r="I122" t="n">
        <v>6.1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905-2025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45664</v>
      </c>
      <c r="E123" s="1" t="n">
        <v>46322</v>
      </c>
      <c r="F123" t="inlineStr">
        <is>
          <t>VÄSTRA GÖTALANDS LÄN</t>
        </is>
      </c>
      <c r="G123" t="inlineStr">
        <is>
          <t>TÖREBODA</t>
        </is>
      </c>
      <c r="I123" t="n">
        <v>2.7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52638-2025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45954</v>
      </c>
      <c r="E124" s="1" t="n">
        <v>46322</v>
      </c>
      <c r="F124" t="inlineStr">
        <is>
          <t>VÄSTRA GÖTALANDS LÄN</t>
        </is>
      </c>
      <c r="G124" t="inlineStr">
        <is>
          <t>TÖREBODA</t>
        </is>
      </c>
      <c r="I124" t="n">
        <v>1.2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28196-2022</t>
        </is>
      </c>
      <c r="B125" t="inlineStr">
        <is>
          <t>avverkningsanmälan</t>
        </is>
      </c>
      <c r="C125" t="inlineStr">
        <is>
          <t>Avverkning för att bevara och utveckla /försöksver</t>
        </is>
      </c>
      <c r="D125" s="1" t="n">
        <v>44746</v>
      </c>
      <c r="E125" s="1" t="n">
        <v>46322</v>
      </c>
      <c r="F125" t="inlineStr">
        <is>
          <t>VÄSTRA GÖTALANDS LÄN</t>
        </is>
      </c>
      <c r="G125" t="inlineStr">
        <is>
          <t>TÖREBODA</t>
        </is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52639-2025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45954</v>
      </c>
      <c r="E126" s="1" t="n">
        <v>46322</v>
      </c>
      <c r="F126" t="inlineStr">
        <is>
          <t>VÄSTRA GÖTALANDS LÄN</t>
        </is>
      </c>
      <c r="G126" t="inlineStr">
        <is>
          <t>TÖREBODA</t>
        </is>
      </c>
      <c r="I126" t="n">
        <v>2.7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20976-2025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45777</v>
      </c>
      <c r="E127" s="1" t="n">
        <v>46322</v>
      </c>
      <c r="F127" t="inlineStr">
        <is>
          <t>VÄSTRA GÖTALANDS LÄN</t>
        </is>
      </c>
      <c r="G127" t="inlineStr">
        <is>
          <t>TÖREBODA</t>
        </is>
      </c>
      <c r="H127" t="inlineStr">
        <is>
          <t>Sveaskog</t>
        </is>
      </c>
      <c r="I127" t="n">
        <v>0.7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54016-2025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45961</v>
      </c>
      <c r="E128" s="1" t="n">
        <v>46322</v>
      </c>
      <c r="F128" t="inlineStr">
        <is>
          <t>VÄSTRA GÖTALANDS LÄN</t>
        </is>
      </c>
      <c r="G128" t="inlineStr">
        <is>
          <t>TÖREBODA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46088-2024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45581</v>
      </c>
      <c r="E129" s="1" t="n">
        <v>46322</v>
      </c>
      <c r="F129" t="inlineStr">
        <is>
          <t>VÄSTRA GÖTALANDS LÄN</t>
        </is>
      </c>
      <c r="G129" t="inlineStr">
        <is>
          <t>TÖREBODA</t>
        </is>
      </c>
      <c r="H129" t="inlineStr">
        <is>
          <t>Sveaskog</t>
        </is>
      </c>
      <c r="I129" t="n">
        <v>1.3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23033-2024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45450</v>
      </c>
      <c r="E130" s="1" t="n">
        <v>46322</v>
      </c>
      <c r="F130" t="inlineStr">
        <is>
          <t>VÄSTRA GÖTALANDS LÄN</t>
        </is>
      </c>
      <c r="G130" t="inlineStr">
        <is>
          <t>TÖREBODA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29739-2024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45485</v>
      </c>
      <c r="E131" s="1" t="n">
        <v>46322</v>
      </c>
      <c r="F131" t="inlineStr">
        <is>
          <t>VÄSTRA GÖTALANDS LÄN</t>
        </is>
      </c>
      <c r="G131" t="inlineStr">
        <is>
          <t>TÖREBODA</t>
        </is>
      </c>
      <c r="H131" t="inlineStr">
        <is>
          <t>Sveaskog</t>
        </is>
      </c>
      <c r="I131" t="n">
        <v>2.4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11730-2025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45727</v>
      </c>
      <c r="E132" s="1" t="n">
        <v>46322</v>
      </c>
      <c r="F132" t="inlineStr">
        <is>
          <t>VÄSTRA GÖTALANDS LÄN</t>
        </is>
      </c>
      <c r="G132" t="inlineStr">
        <is>
          <t>TÖREBODA</t>
        </is>
      </c>
      <c r="I132" t="n">
        <v>11.2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55593-2025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45971</v>
      </c>
      <c r="E133" s="1" t="n">
        <v>46322</v>
      </c>
      <c r="F133" t="inlineStr">
        <is>
          <t>VÄSTRA GÖTALANDS LÄN</t>
        </is>
      </c>
      <c r="G133" t="inlineStr">
        <is>
          <t>TÖREBODA</t>
        </is>
      </c>
      <c r="I133" t="n">
        <v>20.8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55729-2025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45972</v>
      </c>
      <c r="E134" s="1" t="n">
        <v>46322</v>
      </c>
      <c r="F134" t="inlineStr">
        <is>
          <t>VÄSTRA GÖTALANDS LÄN</t>
        </is>
      </c>
      <c r="G134" t="inlineStr">
        <is>
          <t>TÖREBODA</t>
        </is>
      </c>
      <c r="I134" t="n">
        <v>2.2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55652-2025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45972</v>
      </c>
      <c r="E135" s="1" t="n">
        <v>46322</v>
      </c>
      <c r="F135" t="inlineStr">
        <is>
          <t>VÄSTRA GÖTALANDS LÄN</t>
        </is>
      </c>
      <c r="G135" t="inlineStr">
        <is>
          <t>TÖREBODA</t>
        </is>
      </c>
      <c r="H135" t="inlineStr">
        <is>
          <t>Sveaskog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55766-2025</t>
        </is>
      </c>
      <c r="B136" t="inlineStr">
        <is>
          <t>avverkningsanmälan</t>
        </is>
      </c>
      <c r="C136" t="inlineStr">
        <is>
          <t>Avverkning för att bevara och utveckla /försöksver</t>
        </is>
      </c>
      <c r="D136" s="1" t="n">
        <v>45972</v>
      </c>
      <c r="E136" s="1" t="n">
        <v>46322</v>
      </c>
      <c r="F136" t="inlineStr">
        <is>
          <t>VÄSTRA GÖTALANDS LÄN</t>
        </is>
      </c>
      <c r="G136" t="inlineStr">
        <is>
          <t>TÖREBODA</t>
        </is>
      </c>
      <c r="H136" t="inlineStr">
        <is>
          <t>Sveaskog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9109-2025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45713</v>
      </c>
      <c r="E137" s="1" t="n">
        <v>46322</v>
      </c>
      <c r="F137" t="inlineStr">
        <is>
          <t>VÄSTRA GÖTALANDS LÄN</t>
        </is>
      </c>
      <c r="G137" t="inlineStr">
        <is>
          <t>TÖREBODA</t>
        </is>
      </c>
      <c r="I137" t="n">
        <v>1.7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56131-2025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45974</v>
      </c>
      <c r="E138" s="1" t="n">
        <v>46322</v>
      </c>
      <c r="F138" t="inlineStr">
        <is>
          <t>VÄSTRA GÖTALANDS LÄN</t>
        </is>
      </c>
      <c r="G138" t="inlineStr">
        <is>
          <t>TÖREBODA</t>
        </is>
      </c>
      <c r="I138" t="n">
        <v>6.3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12328-2025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45730</v>
      </c>
      <c r="E139" s="1" t="n">
        <v>46322</v>
      </c>
      <c r="F139" t="inlineStr">
        <is>
          <t>VÄSTRA GÖTALANDS LÄN</t>
        </is>
      </c>
      <c r="G139" t="inlineStr">
        <is>
          <t>TÖREBODA</t>
        </is>
      </c>
      <c r="I139" t="n">
        <v>2.9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30593-2024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45493</v>
      </c>
      <c r="E140" s="1" t="n">
        <v>46322</v>
      </c>
      <c r="F140" t="inlineStr">
        <is>
          <t>VÄSTRA GÖTALANDS LÄN</t>
        </is>
      </c>
      <c r="G140" t="inlineStr">
        <is>
          <t>TÖREBODA</t>
        </is>
      </c>
      <c r="I140" t="n">
        <v>2.6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14505-2024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45394</v>
      </c>
      <c r="E141" s="1" t="n">
        <v>46322</v>
      </c>
      <c r="F141" t="inlineStr">
        <is>
          <t>VÄSTRA GÖTALANDS LÄN</t>
        </is>
      </c>
      <c r="G141" t="inlineStr">
        <is>
          <t>TÖREBODA</t>
        </is>
      </c>
      <c r="I141" t="n">
        <v>2.6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21014-2024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45439</v>
      </c>
      <c r="E142" s="1" t="n">
        <v>46322</v>
      </c>
      <c r="F142" t="inlineStr">
        <is>
          <t>VÄSTRA GÖTALANDS LÄN</t>
        </is>
      </c>
      <c r="G142" t="inlineStr">
        <is>
          <t>TÖREBODA</t>
        </is>
      </c>
      <c r="I142" t="n">
        <v>0.8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24544-2024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45460</v>
      </c>
      <c r="E143" s="1" t="n">
        <v>46322</v>
      </c>
      <c r="F143" t="inlineStr">
        <is>
          <t>VÄSTRA GÖTALANDS LÄN</t>
        </is>
      </c>
      <c r="G143" t="inlineStr">
        <is>
          <t>TÖREBODA</t>
        </is>
      </c>
      <c r="I143" t="n">
        <v>7.3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24546-2024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45460</v>
      </c>
      <c r="E144" s="1" t="n">
        <v>46322</v>
      </c>
      <c r="F144" t="inlineStr">
        <is>
          <t>VÄSTRA GÖTALANDS LÄN</t>
        </is>
      </c>
      <c r="G144" t="inlineStr">
        <is>
          <t>TÖREBODA</t>
        </is>
      </c>
      <c r="I144" t="n">
        <v>5.4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48969-2023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45209</v>
      </c>
      <c r="E145" s="1" t="n">
        <v>46322</v>
      </c>
      <c r="F145" t="inlineStr">
        <is>
          <t>VÄSTRA GÖTALANDS LÄN</t>
        </is>
      </c>
      <c r="G145" t="inlineStr">
        <is>
          <t>TÖREBODA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58006-2024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45631</v>
      </c>
      <c r="E146" s="1" t="n">
        <v>46322</v>
      </c>
      <c r="F146" t="inlineStr">
        <is>
          <t>VÄSTRA GÖTALANDS LÄN</t>
        </is>
      </c>
      <c r="G146" t="inlineStr">
        <is>
          <t>TÖREBODA</t>
        </is>
      </c>
      <c r="I146" t="n">
        <v>1.6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43559-2024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45569</v>
      </c>
      <c r="E147" s="1" t="n">
        <v>46322</v>
      </c>
      <c r="F147" t="inlineStr">
        <is>
          <t>VÄSTRA GÖTALANDS LÄN</t>
        </is>
      </c>
      <c r="G147" t="inlineStr">
        <is>
          <t>TÖREBODA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64799-2023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45282</v>
      </c>
      <c r="E148" s="1" t="n">
        <v>46322</v>
      </c>
      <c r="F148" t="inlineStr">
        <is>
          <t>VÄSTRA GÖTALANDS LÄN</t>
        </is>
      </c>
      <c r="G148" t="inlineStr">
        <is>
          <t>TÖREBODA</t>
        </is>
      </c>
      <c r="I148" t="n">
        <v>0.8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18690-2025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45763</v>
      </c>
      <c r="E149" s="1" t="n">
        <v>46322</v>
      </c>
      <c r="F149" t="inlineStr">
        <is>
          <t>VÄSTRA GÖTALANDS LÄN</t>
        </is>
      </c>
      <c r="G149" t="inlineStr">
        <is>
          <t>TÖREBODA</t>
        </is>
      </c>
      <c r="H149" t="inlineStr">
        <is>
          <t>Kyrkan</t>
        </is>
      </c>
      <c r="I149" t="n">
        <v>2.5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48734-2024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45593</v>
      </c>
      <c r="E150" s="1" t="n">
        <v>46322</v>
      </c>
      <c r="F150" t="inlineStr">
        <is>
          <t>VÄSTRA GÖTALANDS LÄN</t>
        </is>
      </c>
      <c r="G150" t="inlineStr">
        <is>
          <t>TÖREBODA</t>
        </is>
      </c>
      <c r="I150" t="n">
        <v>1.9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10598-2023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44988</v>
      </c>
      <c r="E151" s="1" t="n">
        <v>46322</v>
      </c>
      <c r="F151" t="inlineStr">
        <is>
          <t>VÄSTRA GÖTALANDS LÄN</t>
        </is>
      </c>
      <c r="G151" t="inlineStr">
        <is>
          <t>TÖREBODA</t>
        </is>
      </c>
      <c r="I151" t="n">
        <v>1.2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10430-2023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44987</v>
      </c>
      <c r="E152" s="1" t="n">
        <v>46322</v>
      </c>
      <c r="F152" t="inlineStr">
        <is>
          <t>VÄSTRA GÖTALANDS LÄN</t>
        </is>
      </c>
      <c r="G152" t="inlineStr">
        <is>
          <t>TÖREBODA</t>
        </is>
      </c>
      <c r="I152" t="n">
        <v>2.6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10431-2023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44987</v>
      </c>
      <c r="E153" s="1" t="n">
        <v>46322</v>
      </c>
      <c r="F153" t="inlineStr">
        <is>
          <t>VÄSTRA GÖTALANDS LÄN</t>
        </is>
      </c>
      <c r="G153" t="inlineStr">
        <is>
          <t>TÖREBODA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58226-2022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44901</v>
      </c>
      <c r="E154" s="1" t="n">
        <v>46322</v>
      </c>
      <c r="F154" t="inlineStr">
        <is>
          <t>VÄSTRA GÖTALANDS LÄN</t>
        </is>
      </c>
      <c r="G154" t="inlineStr">
        <is>
          <t>TÖREBODA</t>
        </is>
      </c>
      <c r="I154" t="n">
        <v>1.3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26941-2025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45811</v>
      </c>
      <c r="E155" s="1" t="n">
        <v>46322</v>
      </c>
      <c r="F155" t="inlineStr">
        <is>
          <t>VÄSTRA GÖTALANDS LÄN</t>
        </is>
      </c>
      <c r="G155" t="inlineStr">
        <is>
          <t>TÖREBODA</t>
        </is>
      </c>
      <c r="I155" t="n">
        <v>3.1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26963-2025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45811</v>
      </c>
      <c r="E156" s="1" t="n">
        <v>46322</v>
      </c>
      <c r="F156" t="inlineStr">
        <is>
          <t>VÄSTRA GÖTALANDS LÄN</t>
        </is>
      </c>
      <c r="G156" t="inlineStr">
        <is>
          <t>TÖREBODA</t>
        </is>
      </c>
      <c r="I156" t="n">
        <v>2.2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10833-2024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45369</v>
      </c>
      <c r="E157" s="1" t="n">
        <v>46322</v>
      </c>
      <c r="F157" t="inlineStr">
        <is>
          <t>VÄSTRA GÖTALANDS LÄN</t>
        </is>
      </c>
      <c r="G157" t="inlineStr">
        <is>
          <t>TÖREBODA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28044-2023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45099</v>
      </c>
      <c r="E158" s="1" t="n">
        <v>46322</v>
      </c>
      <c r="F158" t="inlineStr">
        <is>
          <t>VÄSTRA GÖTALANDS LÄN</t>
        </is>
      </c>
      <c r="G158" t="inlineStr">
        <is>
          <t>TÖREBODA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43561-2024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45569</v>
      </c>
      <c r="E159" s="1" t="n">
        <v>46322</v>
      </c>
      <c r="F159" t="inlineStr">
        <is>
          <t>VÄSTRA GÖTALANDS LÄN</t>
        </is>
      </c>
      <c r="G159" t="inlineStr">
        <is>
          <t>TÖREBODA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18741-2025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45763</v>
      </c>
      <c r="E160" s="1" t="n">
        <v>46322</v>
      </c>
      <c r="F160" t="inlineStr">
        <is>
          <t>VÄSTRA GÖTALANDS LÄN</t>
        </is>
      </c>
      <c r="G160" t="inlineStr">
        <is>
          <t>TÖREBODA</t>
        </is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62980-2025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46009</v>
      </c>
      <c r="E161" s="1" t="n">
        <v>46322</v>
      </c>
      <c r="F161" t="inlineStr">
        <is>
          <t>VÄSTRA GÖTALANDS LÄN</t>
        </is>
      </c>
      <c r="G161" t="inlineStr">
        <is>
          <t>TÖREBODA</t>
        </is>
      </c>
      <c r="I161" t="n">
        <v>3.1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30591-2025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45831</v>
      </c>
      <c r="E162" s="1" t="n">
        <v>46322</v>
      </c>
      <c r="F162" t="inlineStr">
        <is>
          <t>VÄSTRA GÖTALANDS LÄN</t>
        </is>
      </c>
      <c r="G162" t="inlineStr">
        <is>
          <t>TÖREBODA</t>
        </is>
      </c>
      <c r="I162" t="n">
        <v>3.9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28965-2022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44749</v>
      </c>
      <c r="E163" s="1" t="n">
        <v>46322</v>
      </c>
      <c r="F163" t="inlineStr">
        <is>
          <t>VÄSTRA GÖTALANDS LÄN</t>
        </is>
      </c>
      <c r="G163" t="inlineStr">
        <is>
          <t>TÖREBODA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32308-2025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45835</v>
      </c>
      <c r="E164" s="1" t="n">
        <v>46322</v>
      </c>
      <c r="F164" t="inlineStr">
        <is>
          <t>VÄSTRA GÖTALANDS LÄN</t>
        </is>
      </c>
      <c r="G164" t="inlineStr">
        <is>
          <t>TÖREBODA</t>
        </is>
      </c>
      <c r="I164" t="n">
        <v>6.7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32155-2025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45835</v>
      </c>
      <c r="E165" s="1" t="n">
        <v>46322</v>
      </c>
      <c r="F165" t="inlineStr">
        <is>
          <t>VÄSTRA GÖTALANDS LÄN</t>
        </is>
      </c>
      <c r="G165" t="inlineStr">
        <is>
          <t>TÖREBODA</t>
        </is>
      </c>
      <c r="I165" t="n">
        <v>4.4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24355-2024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45457</v>
      </c>
      <c r="E166" s="1" t="n">
        <v>46322</v>
      </c>
      <c r="F166" t="inlineStr">
        <is>
          <t>VÄSTRA GÖTALANDS LÄN</t>
        </is>
      </c>
      <c r="G166" t="inlineStr">
        <is>
          <t>TÖREBODA</t>
        </is>
      </c>
      <c r="H166" t="inlineStr">
        <is>
          <t>Övriga statliga verk och myndigheter</t>
        </is>
      </c>
      <c r="I166" t="n">
        <v>1.2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27231-2023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45096</v>
      </c>
      <c r="E167" s="1" t="n">
        <v>46322</v>
      </c>
      <c r="F167" t="inlineStr">
        <is>
          <t>VÄSTRA GÖTALANDS LÄN</t>
        </is>
      </c>
      <c r="G167" t="inlineStr">
        <is>
          <t>TÖREBODA</t>
        </is>
      </c>
      <c r="H167" t="inlineStr">
        <is>
          <t>Övriga statliga verk och myndigheter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33309-2025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45841</v>
      </c>
      <c r="E168" s="1" t="n">
        <v>46322</v>
      </c>
      <c r="F168" t="inlineStr">
        <is>
          <t>VÄSTRA GÖTALANDS LÄN</t>
        </is>
      </c>
      <c r="G168" t="inlineStr">
        <is>
          <t>TÖREBODA</t>
        </is>
      </c>
      <c r="H168" t="inlineStr">
        <is>
          <t>Övriga statliga verk och myndigheter</t>
        </is>
      </c>
      <c r="I168" t="n">
        <v>1.8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33541-2025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45841</v>
      </c>
      <c r="E169" s="1" t="n">
        <v>46322</v>
      </c>
      <c r="F169" t="inlineStr">
        <is>
          <t>VÄSTRA GÖTALANDS LÄN</t>
        </is>
      </c>
      <c r="G169" t="inlineStr">
        <is>
          <t>TÖREBODA</t>
        </is>
      </c>
      <c r="H169" t="inlineStr">
        <is>
          <t>Övriga statliga verk och myndigheter</t>
        </is>
      </c>
      <c r="I169" t="n">
        <v>1.4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33530-2025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45841</v>
      </c>
      <c r="E170" s="1" t="n">
        <v>46322</v>
      </c>
      <c r="F170" t="inlineStr">
        <is>
          <t>VÄSTRA GÖTALANDS LÄN</t>
        </is>
      </c>
      <c r="G170" t="inlineStr">
        <is>
          <t>TÖREBODA</t>
        </is>
      </c>
      <c r="H170" t="inlineStr">
        <is>
          <t>Övriga statliga verk och myndigheter</t>
        </is>
      </c>
      <c r="I170" t="n">
        <v>1.2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33534-2025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45841</v>
      </c>
      <c r="E171" s="1" t="n">
        <v>46322</v>
      </c>
      <c r="F171" t="inlineStr">
        <is>
          <t>VÄSTRA GÖTALANDS LÄN</t>
        </is>
      </c>
      <c r="G171" t="inlineStr">
        <is>
          <t>TÖREBODA</t>
        </is>
      </c>
      <c r="H171" t="inlineStr">
        <is>
          <t>Övriga statliga verk och myndigheter</t>
        </is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56273-2022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44890</v>
      </c>
      <c r="E172" s="1" t="n">
        <v>46322</v>
      </c>
      <c r="F172" t="inlineStr">
        <is>
          <t>VÄSTRA GÖTALANDS LÄN</t>
        </is>
      </c>
      <c r="G172" t="inlineStr">
        <is>
          <t>TÖREBODA</t>
        </is>
      </c>
      <c r="H172" t="inlineStr">
        <is>
          <t>Övriga statliga verk och myndigheter</t>
        </is>
      </c>
      <c r="I172" t="n">
        <v>12.6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33316-2025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45841</v>
      </c>
      <c r="E173" s="1" t="n">
        <v>46322</v>
      </c>
      <c r="F173" t="inlineStr">
        <is>
          <t>VÄSTRA GÖTALANDS LÄN</t>
        </is>
      </c>
      <c r="G173" t="inlineStr">
        <is>
          <t>TÖREBODA</t>
        </is>
      </c>
      <c r="H173" t="inlineStr">
        <is>
          <t>Övriga statliga verk och myndigheter</t>
        </is>
      </c>
      <c r="I173" t="n">
        <v>1.4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3508-2023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44950</v>
      </c>
      <c r="E174" s="1" t="n">
        <v>46322</v>
      </c>
      <c r="F174" t="inlineStr">
        <is>
          <t>VÄSTRA GÖTALANDS LÄN</t>
        </is>
      </c>
      <c r="G174" t="inlineStr">
        <is>
          <t>TÖREBODA</t>
        </is>
      </c>
      <c r="I174" t="n">
        <v>2.1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26759-2022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44740</v>
      </c>
      <c r="E175" s="1" t="n">
        <v>46322</v>
      </c>
      <c r="F175" t="inlineStr">
        <is>
          <t>VÄSTRA GÖTALANDS LÄN</t>
        </is>
      </c>
      <c r="G175" t="inlineStr">
        <is>
          <t>TÖREBODA</t>
        </is>
      </c>
      <c r="I175" t="n">
        <v>2.3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56614-2024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45625</v>
      </c>
      <c r="E176" s="1" t="n">
        <v>46322</v>
      </c>
      <c r="F176" t="inlineStr">
        <is>
          <t>VÄSTRA GÖTALANDS LÄN</t>
        </is>
      </c>
      <c r="G176" t="inlineStr">
        <is>
          <t>TÖREBODA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56831-2022</t>
        </is>
      </c>
      <c r="B177" t="inlineStr">
        <is>
          <t>avverkningsanmälan</t>
        </is>
      </c>
      <c r="C177" t="inlineStr">
        <is>
          <t>Avverkning för annat ändamål</t>
        </is>
      </c>
      <c r="D177" s="1" t="n">
        <v>44894</v>
      </c>
      <c r="E177" s="1" t="n">
        <v>46322</v>
      </c>
      <c r="F177" t="inlineStr">
        <is>
          <t>VÄSTRA GÖTALANDS LÄN</t>
        </is>
      </c>
      <c r="G177" t="inlineStr">
        <is>
          <t>TÖREBODA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18845-2025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45764</v>
      </c>
      <c r="E178" s="1" t="n">
        <v>46322</v>
      </c>
      <c r="F178" t="inlineStr">
        <is>
          <t>VÄSTRA GÖTALANDS LÄN</t>
        </is>
      </c>
      <c r="G178" t="inlineStr">
        <is>
          <t>TÖREBODA</t>
        </is>
      </c>
      <c r="I178" t="n">
        <v>2.1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56684-2024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45627</v>
      </c>
      <c r="E179" s="1" t="n">
        <v>46322</v>
      </c>
      <c r="F179" t="inlineStr">
        <is>
          <t>VÄSTRA GÖTALANDS LÄN</t>
        </is>
      </c>
      <c r="G179" t="inlineStr">
        <is>
          <t>TÖREBODA</t>
        </is>
      </c>
      <c r="I179" t="n">
        <v>0.4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14550-2025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45741</v>
      </c>
      <c r="E180" s="1" t="n">
        <v>46322</v>
      </c>
      <c r="F180" t="inlineStr">
        <is>
          <t>VÄSTRA GÖTALANDS LÄN</t>
        </is>
      </c>
      <c r="G180" t="inlineStr">
        <is>
          <t>TÖREBODA</t>
        </is>
      </c>
      <c r="I180" t="n">
        <v>8.199999999999999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6578-2024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45341</v>
      </c>
      <c r="E181" s="1" t="n">
        <v>46322</v>
      </c>
      <c r="F181" t="inlineStr">
        <is>
          <t>VÄSTRA GÖTALANDS LÄN</t>
        </is>
      </c>
      <c r="G181" t="inlineStr">
        <is>
          <t>TÖREBODA</t>
        </is>
      </c>
      <c r="I181" t="n">
        <v>5.3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29023-2024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45481</v>
      </c>
      <c r="E182" s="1" t="n">
        <v>46322</v>
      </c>
      <c r="F182" t="inlineStr">
        <is>
          <t>VÄSTRA GÖTALANDS LÄN</t>
        </is>
      </c>
      <c r="G182" t="inlineStr">
        <is>
          <t>TÖREBODA</t>
        </is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8315-2024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45350</v>
      </c>
      <c r="E183" s="1" t="n">
        <v>46322</v>
      </c>
      <c r="F183" t="inlineStr">
        <is>
          <t>VÄSTRA GÖTALANDS LÄN</t>
        </is>
      </c>
      <c r="G183" t="inlineStr">
        <is>
          <t>TÖREBODA</t>
        </is>
      </c>
      <c r="I183" t="n">
        <v>2.3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9655-2023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44978</v>
      </c>
      <c r="E184" s="1" t="n">
        <v>46322</v>
      </c>
      <c r="F184" t="inlineStr">
        <is>
          <t>VÄSTRA GÖTALANDS LÄN</t>
        </is>
      </c>
      <c r="G184" t="inlineStr">
        <is>
          <t>TÖREBODA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62521-2022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44924</v>
      </c>
      <c r="E185" s="1" t="n">
        <v>46322</v>
      </c>
      <c r="F185" t="inlineStr">
        <is>
          <t>VÄSTRA GÖTALANDS LÄN</t>
        </is>
      </c>
      <c r="G185" t="inlineStr">
        <is>
          <t>TÖREBODA</t>
        </is>
      </c>
      <c r="I185" t="n">
        <v>1.9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54459-2023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45233</v>
      </c>
      <c r="E186" s="1" t="n">
        <v>46322</v>
      </c>
      <c r="F186" t="inlineStr">
        <is>
          <t>VÄSTRA GÖTALANDS LÄN</t>
        </is>
      </c>
      <c r="G186" t="inlineStr">
        <is>
          <t>TÖREBODA</t>
        </is>
      </c>
      <c r="H186" t="inlineStr">
        <is>
          <t>Övriga statliga verk och myndigheter</t>
        </is>
      </c>
      <c r="I186" t="n">
        <v>1.6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29891-2022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44756</v>
      </c>
      <c r="E187" s="1" t="n">
        <v>46322</v>
      </c>
      <c r="F187" t="inlineStr">
        <is>
          <t>VÄSTRA GÖTALANDS LÄN</t>
        </is>
      </c>
      <c r="G187" t="inlineStr">
        <is>
          <t>TÖREBODA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10448-2025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45720</v>
      </c>
      <c r="E188" s="1" t="n">
        <v>46322</v>
      </c>
      <c r="F188" t="inlineStr">
        <is>
          <t>VÄSTRA GÖTALANDS LÄN</t>
        </is>
      </c>
      <c r="G188" t="inlineStr">
        <is>
          <t>TÖREBODA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48957-2022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44860</v>
      </c>
      <c r="E189" s="1" t="n">
        <v>46322</v>
      </c>
      <c r="F189" t="inlineStr">
        <is>
          <t>VÄSTRA GÖTALANDS LÄN</t>
        </is>
      </c>
      <c r="G189" t="inlineStr">
        <is>
          <t>TÖREBODA</t>
        </is>
      </c>
      <c r="H189" t="inlineStr">
        <is>
          <t>Sveaskog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30200-2026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46206</v>
      </c>
      <c r="E190" s="1" t="n">
        <v>46322</v>
      </c>
      <c r="F190" t="inlineStr">
        <is>
          <t>VÄSTRA GÖTALANDS LÄN</t>
        </is>
      </c>
      <c r="G190" t="inlineStr">
        <is>
          <t>TÖREBODA</t>
        </is>
      </c>
      <c r="H190" t="inlineStr">
        <is>
          <t>Sveaskog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6970-2026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46057</v>
      </c>
      <c r="E191" s="1" t="n">
        <v>46322</v>
      </c>
      <c r="F191" t="inlineStr">
        <is>
          <t>VÄSTRA GÖTALANDS LÄN</t>
        </is>
      </c>
      <c r="G191" t="inlineStr">
        <is>
          <t>TÖREBODA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30194-2026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46206</v>
      </c>
      <c r="E192" s="1" t="n">
        <v>46322</v>
      </c>
      <c r="F192" t="inlineStr">
        <is>
          <t>VÄSTRA GÖTALANDS LÄN</t>
        </is>
      </c>
      <c r="G192" t="inlineStr">
        <is>
          <t>TÖREBODA</t>
        </is>
      </c>
      <c r="H192" t="inlineStr">
        <is>
          <t>Sveaskog</t>
        </is>
      </c>
      <c r="I192" t="n">
        <v>1.8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34865-2023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45142</v>
      </c>
      <c r="E193" s="1" t="n">
        <v>46322</v>
      </c>
      <c r="F193" t="inlineStr">
        <is>
          <t>VÄSTRA GÖTALANDS LÄN</t>
        </is>
      </c>
      <c r="G193" t="inlineStr">
        <is>
          <t>TÖREBODA</t>
        </is>
      </c>
      <c r="H193" t="inlineStr">
        <is>
          <t>Sveaskog</t>
        </is>
      </c>
      <c r="I193" t="n">
        <v>2.8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30198-2026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46206</v>
      </c>
      <c r="E194" s="1" t="n">
        <v>46322</v>
      </c>
      <c r="F194" t="inlineStr">
        <is>
          <t>VÄSTRA GÖTALANDS LÄN</t>
        </is>
      </c>
      <c r="G194" t="inlineStr">
        <is>
          <t>TÖREBODA</t>
        </is>
      </c>
      <c r="H194" t="inlineStr">
        <is>
          <t>Sveaskog</t>
        </is>
      </c>
      <c r="I194" t="n">
        <v>3.5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60267-2024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45642</v>
      </c>
      <c r="E195" s="1" t="n">
        <v>46322</v>
      </c>
      <c r="F195" t="inlineStr">
        <is>
          <t>VÄSTRA GÖTALANDS LÄN</t>
        </is>
      </c>
      <c r="G195" t="inlineStr">
        <is>
          <t>TÖREBODA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45649-2024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45579</v>
      </c>
      <c r="E196" s="1" t="n">
        <v>46322</v>
      </c>
      <c r="F196" t="inlineStr">
        <is>
          <t>VÄSTRA GÖTALANDS LÄN</t>
        </is>
      </c>
      <c r="G196" t="inlineStr">
        <is>
          <t>TÖREBODA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30539-2026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46210</v>
      </c>
      <c r="E197" s="1" t="n">
        <v>46322</v>
      </c>
      <c r="F197" t="inlineStr">
        <is>
          <t>VÄSTRA GÖTALANDS LÄN</t>
        </is>
      </c>
      <c r="G197" t="inlineStr">
        <is>
          <t>TÖREBODA</t>
        </is>
      </c>
      <c r="H197" t="inlineStr">
        <is>
          <t>Sveaskog</t>
        </is>
      </c>
      <c r="I197" t="n">
        <v>10.7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7860-2026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46062</v>
      </c>
      <c r="E198" s="1" t="n">
        <v>46322</v>
      </c>
      <c r="F198" t="inlineStr">
        <is>
          <t>VÄSTRA GÖTALANDS LÄN</t>
        </is>
      </c>
      <c r="G198" t="inlineStr">
        <is>
          <t>TÖREBODA</t>
        </is>
      </c>
      <c r="I198" t="n">
        <v>3.9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15086-2024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45399</v>
      </c>
      <c r="E199" s="1" t="n">
        <v>46322</v>
      </c>
      <c r="F199" t="inlineStr">
        <is>
          <t>VÄSTRA GÖTALANDS LÄN</t>
        </is>
      </c>
      <c r="G199" t="inlineStr">
        <is>
          <t>TÖREBODA</t>
        </is>
      </c>
      <c r="I199" t="n">
        <v>3.3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39621-2024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45552</v>
      </c>
      <c r="E200" s="1" t="n">
        <v>46322</v>
      </c>
      <c r="F200" t="inlineStr">
        <is>
          <t>VÄSTRA GÖTALANDS LÄN</t>
        </is>
      </c>
      <c r="G200" t="inlineStr">
        <is>
          <t>TÖREBODA</t>
        </is>
      </c>
      <c r="I200" t="n">
        <v>3.7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58213-2022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44901</v>
      </c>
      <c r="E201" s="1" t="n">
        <v>46322</v>
      </c>
      <c r="F201" t="inlineStr">
        <is>
          <t>VÄSTRA GÖTALANDS LÄN</t>
        </is>
      </c>
      <c r="G201" t="inlineStr">
        <is>
          <t>TÖREBODA</t>
        </is>
      </c>
      <c r="I201" t="n">
        <v>0.7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62542-2022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44924</v>
      </c>
      <c r="E202" s="1" t="n">
        <v>46322</v>
      </c>
      <c r="F202" t="inlineStr">
        <is>
          <t>VÄSTRA GÖTALANDS LÄN</t>
        </is>
      </c>
      <c r="G202" t="inlineStr">
        <is>
          <t>TÖREBODA</t>
        </is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54734-2023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45236</v>
      </c>
      <c r="E203" s="1" t="n">
        <v>46322</v>
      </c>
      <c r="F203" t="inlineStr">
        <is>
          <t>VÄSTRA GÖTALANDS LÄN</t>
        </is>
      </c>
      <c r="G203" t="inlineStr">
        <is>
          <t>TÖREBODA</t>
        </is>
      </c>
      <c r="I203" t="n">
        <v>3.5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10818-2026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46078</v>
      </c>
      <c r="E204" s="1" t="n">
        <v>46322</v>
      </c>
      <c r="F204" t="inlineStr">
        <is>
          <t>VÄSTRA GÖTALANDS LÄN</t>
        </is>
      </c>
      <c r="G204" t="inlineStr">
        <is>
          <t>TÖREBODA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58123-2022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44900</v>
      </c>
      <c r="E205" s="1" t="n">
        <v>46322</v>
      </c>
      <c r="F205" t="inlineStr">
        <is>
          <t>VÄSTRA GÖTALANDS LÄN</t>
        </is>
      </c>
      <c r="G205" t="inlineStr">
        <is>
          <t>TÖREBODA</t>
        </is>
      </c>
      <c r="I205" t="n">
        <v>2.8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6162-2023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44964</v>
      </c>
      <c r="E206" s="1" t="n">
        <v>46322</v>
      </c>
      <c r="F206" t="inlineStr">
        <is>
          <t>VÄSTRA GÖTALANDS LÄN</t>
        </is>
      </c>
      <c r="G206" t="inlineStr">
        <is>
          <t>TÖREBODA</t>
        </is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35232-2024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45530</v>
      </c>
      <c r="E207" s="1" t="n">
        <v>46322</v>
      </c>
      <c r="F207" t="inlineStr">
        <is>
          <t>VÄSTRA GÖTALANDS LÄN</t>
        </is>
      </c>
      <c r="G207" t="inlineStr">
        <is>
          <t>TÖREBODA</t>
        </is>
      </c>
      <c r="I207" t="n">
        <v>0.7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11863-2026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46085</v>
      </c>
      <c r="E208" s="1" t="n">
        <v>46322</v>
      </c>
      <c r="F208" t="inlineStr">
        <is>
          <t>VÄSTRA GÖTALANDS LÄN</t>
        </is>
      </c>
      <c r="G208" t="inlineStr">
        <is>
          <t>TÖREBODA</t>
        </is>
      </c>
      <c r="I208" t="n">
        <v>3.2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4708-2024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45328</v>
      </c>
      <c r="E209" s="1" t="n">
        <v>46322</v>
      </c>
      <c r="F209" t="inlineStr">
        <is>
          <t>VÄSTRA GÖTALANDS LÄN</t>
        </is>
      </c>
      <c r="G209" t="inlineStr">
        <is>
          <t>TÖREBODA</t>
        </is>
      </c>
      <c r="I209" t="n">
        <v>2.9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31901-2026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46231</v>
      </c>
      <c r="E210" s="1" t="n">
        <v>46322</v>
      </c>
      <c r="F210" t="inlineStr">
        <is>
          <t>VÄSTRA GÖTALANDS LÄN</t>
        </is>
      </c>
      <c r="G210" t="inlineStr">
        <is>
          <t>TÖREBODA</t>
        </is>
      </c>
      <c r="I210" t="n">
        <v>2.8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9651-2023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44978</v>
      </c>
      <c r="E211" s="1" t="n">
        <v>46322</v>
      </c>
      <c r="F211" t="inlineStr">
        <is>
          <t>VÄSTRA GÖTALANDS LÄN</t>
        </is>
      </c>
      <c r="G211" t="inlineStr">
        <is>
          <t>TÖREBODA</t>
        </is>
      </c>
      <c r="I211" t="n">
        <v>2.8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56805-2023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45244</v>
      </c>
      <c r="E212" s="1" t="n">
        <v>46322</v>
      </c>
      <c r="F212" t="inlineStr">
        <is>
          <t>VÄSTRA GÖTALANDS LÄN</t>
        </is>
      </c>
      <c r="G212" t="inlineStr">
        <is>
          <t>TÖREBODA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22048-2024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45443</v>
      </c>
      <c r="E213" s="1" t="n">
        <v>46322</v>
      </c>
      <c r="F213" t="inlineStr">
        <is>
          <t>VÄSTRA GÖTALANDS LÄN</t>
        </is>
      </c>
      <c r="G213" t="inlineStr">
        <is>
          <t>TÖREBODA</t>
        </is>
      </c>
      <c r="I213" t="n">
        <v>2.5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47319-2022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44853</v>
      </c>
      <c r="E214" s="1" t="n">
        <v>46322</v>
      </c>
      <c r="F214" t="inlineStr">
        <is>
          <t>VÄSTRA GÖTALANDS LÄN</t>
        </is>
      </c>
      <c r="G214" t="inlineStr">
        <is>
          <t>TÖREBODA</t>
        </is>
      </c>
      <c r="H214" t="inlineStr">
        <is>
          <t>Sveaskog</t>
        </is>
      </c>
      <c r="I214" t="n">
        <v>2.6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35239-2023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45145</v>
      </c>
      <c r="E215" s="1" t="n">
        <v>46322</v>
      </c>
      <c r="F215" t="inlineStr">
        <is>
          <t>VÄSTRA GÖTALANDS LÄN</t>
        </is>
      </c>
      <c r="G215" t="inlineStr">
        <is>
          <t>TÖREBODA</t>
        </is>
      </c>
      <c r="I215" t="n">
        <v>0.8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39798-2024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45553</v>
      </c>
      <c r="E216" s="1" t="n">
        <v>46322</v>
      </c>
      <c r="F216" t="inlineStr">
        <is>
          <t>VÄSTRA GÖTALANDS LÄN</t>
        </is>
      </c>
      <c r="G216" t="inlineStr">
        <is>
          <t>TÖREBODA</t>
        </is>
      </c>
      <c r="I216" t="n">
        <v>5.4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24349-2023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45082</v>
      </c>
      <c r="E217" s="1" t="n">
        <v>46322</v>
      </c>
      <c r="F217" t="inlineStr">
        <is>
          <t>VÄSTRA GÖTALANDS LÄN</t>
        </is>
      </c>
      <c r="G217" t="inlineStr">
        <is>
          <t>TÖREBODA</t>
        </is>
      </c>
      <c r="I217" t="n">
        <v>2.8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15567-2026</t>
        </is>
      </c>
      <c r="B218" t="inlineStr">
        <is>
          <t>avverkningsanmälan</t>
        </is>
      </c>
      <c r="C218" t="inlineStr">
        <is>
          <t>Avverkning för annat ändamål</t>
        </is>
      </c>
      <c r="D218" s="1" t="n">
        <v>46106</v>
      </c>
      <c r="E218" s="1" t="n">
        <v>46322</v>
      </c>
      <c r="F218" t="inlineStr">
        <is>
          <t>VÄSTRA GÖTALANDS LÄN</t>
        </is>
      </c>
      <c r="G218" t="inlineStr">
        <is>
          <t>TÖREBODA</t>
        </is>
      </c>
      <c r="I218" t="n">
        <v>5.7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16007-2024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45405</v>
      </c>
      <c r="E219" s="1" t="n">
        <v>46322</v>
      </c>
      <c r="F219" t="inlineStr">
        <is>
          <t>VÄSTRA GÖTALANDS LÄN</t>
        </is>
      </c>
      <c r="G219" t="inlineStr">
        <is>
          <t>TÖREBODA</t>
        </is>
      </c>
      <c r="I219" t="n">
        <v>1.6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16200-2026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46111</v>
      </c>
      <c r="E220" s="1" t="n">
        <v>46322</v>
      </c>
      <c r="F220" t="inlineStr">
        <is>
          <t>VÄSTRA GÖTALANDS LÄN</t>
        </is>
      </c>
      <c r="G220" t="inlineStr">
        <is>
          <t>TÖREBODA</t>
        </is>
      </c>
      <c r="I220" t="n">
        <v>1.8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8402-2024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45352</v>
      </c>
      <c r="E221" s="1" t="n">
        <v>46322</v>
      </c>
      <c r="F221" t="inlineStr">
        <is>
          <t>VÄSTRA GÖTALANDS LÄN</t>
        </is>
      </c>
      <c r="G221" t="inlineStr">
        <is>
          <t>TÖREBODA</t>
        </is>
      </c>
      <c r="I221" t="n">
        <v>2.7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62782-2023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45268</v>
      </c>
      <c r="E222" s="1" t="n">
        <v>46322</v>
      </c>
      <c r="F222" t="inlineStr">
        <is>
          <t>VÄSTRA GÖTALANDS LÄN</t>
        </is>
      </c>
      <c r="G222" t="inlineStr">
        <is>
          <t>TÖREBODA</t>
        </is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7676-2025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45706</v>
      </c>
      <c r="E223" s="1" t="n">
        <v>46322</v>
      </c>
      <c r="F223" t="inlineStr">
        <is>
          <t>VÄSTRA GÖTALANDS LÄN</t>
        </is>
      </c>
      <c r="G223" t="inlineStr">
        <is>
          <t>TÖREBODA</t>
        </is>
      </c>
      <c r="I223" t="n">
        <v>1.5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14555-2026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46100</v>
      </c>
      <c r="E224" s="1" t="n">
        <v>46322</v>
      </c>
      <c r="F224" t="inlineStr">
        <is>
          <t>VÄSTRA GÖTALANDS LÄN</t>
        </is>
      </c>
      <c r="G224" t="inlineStr">
        <is>
          <t>TÖREBODA</t>
        </is>
      </c>
      <c r="I224" t="n">
        <v>0.8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39797-2024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45553</v>
      </c>
      <c r="E225" s="1" t="n">
        <v>46322</v>
      </c>
      <c r="F225" t="inlineStr">
        <is>
          <t>VÄSTRA GÖTALANDS LÄN</t>
        </is>
      </c>
      <c r="G225" t="inlineStr">
        <is>
          <t>TÖREBODA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17895-2026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46122</v>
      </c>
      <c r="E226" s="1" t="n">
        <v>46322</v>
      </c>
      <c r="F226" t="inlineStr">
        <is>
          <t>VÄSTRA GÖTALANDS LÄN</t>
        </is>
      </c>
      <c r="G226" t="inlineStr">
        <is>
          <t>TÖREBODA</t>
        </is>
      </c>
      <c r="I226" t="n">
        <v>6.6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7826-2024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45349</v>
      </c>
      <c r="E227" s="1" t="n">
        <v>46322</v>
      </c>
      <c r="F227" t="inlineStr">
        <is>
          <t>VÄSTRA GÖTALANDS LÄN</t>
        </is>
      </c>
      <c r="G227" t="inlineStr">
        <is>
          <t>TÖREBODA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38482-2026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46282</v>
      </c>
      <c r="E228" s="1" t="n">
        <v>46322</v>
      </c>
      <c r="F228" t="inlineStr">
        <is>
          <t>VÄSTRA GÖTALANDS LÄN</t>
        </is>
      </c>
      <c r="G228" t="inlineStr">
        <is>
          <t>TÖREBODA</t>
        </is>
      </c>
      <c r="I228" t="n">
        <v>6.2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40542-2024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45555</v>
      </c>
      <c r="E229" s="1" t="n">
        <v>46322</v>
      </c>
      <c r="F229" t="inlineStr">
        <is>
          <t>VÄSTRA GÖTALANDS LÄN</t>
        </is>
      </c>
      <c r="G229" t="inlineStr">
        <is>
          <t>TÖREBODA</t>
        </is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907-2025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45664</v>
      </c>
      <c r="E230" s="1" t="n">
        <v>46322</v>
      </c>
      <c r="F230" t="inlineStr">
        <is>
          <t>VÄSTRA GÖTALANDS LÄN</t>
        </is>
      </c>
      <c r="G230" t="inlineStr">
        <is>
          <t>TÖREBODA</t>
        </is>
      </c>
      <c r="I230" t="n">
        <v>1.8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38483-2026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46282</v>
      </c>
      <c r="E231" s="1" t="n">
        <v>46322</v>
      </c>
      <c r="F231" t="inlineStr">
        <is>
          <t>VÄSTRA GÖTALANDS LÄN</t>
        </is>
      </c>
      <c r="G231" t="inlineStr">
        <is>
          <t>TÖREBODA</t>
        </is>
      </c>
      <c r="I231" t="n">
        <v>1.5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24545-2024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45460</v>
      </c>
      <c r="E232" s="1" t="n">
        <v>46322</v>
      </c>
      <c r="F232" t="inlineStr">
        <is>
          <t>VÄSTRA GÖTALANDS LÄN</t>
        </is>
      </c>
      <c r="G232" t="inlineStr">
        <is>
          <t>TÖREBODA</t>
        </is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16703-2025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45754</v>
      </c>
      <c r="E233" s="1" t="n">
        <v>46322</v>
      </c>
      <c r="F233" t="inlineStr">
        <is>
          <t>VÄSTRA GÖTALANDS LÄN</t>
        </is>
      </c>
      <c r="G233" t="inlineStr">
        <is>
          <t>TÖREBODA</t>
        </is>
      </c>
      <c r="I233" t="n">
        <v>2.5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19706-2026</t>
        </is>
      </c>
      <c r="B234" t="inlineStr">
        <is>
          <t>avverkningsanmälan</t>
        </is>
      </c>
      <c r="C234" t="inlineStr">
        <is>
          <t>Avverkning för annat ändamål</t>
        </is>
      </c>
      <c r="D234" s="1" t="n">
        <v>46134</v>
      </c>
      <c r="E234" s="1" t="n">
        <v>46322</v>
      </c>
      <c r="F234" t="inlineStr">
        <is>
          <t>VÄSTRA GÖTALANDS LÄN</t>
        </is>
      </c>
      <c r="G234" t="inlineStr">
        <is>
          <t>TÖREBODA</t>
        </is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19685-2026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46134</v>
      </c>
      <c r="E235" s="1" t="n">
        <v>46322</v>
      </c>
      <c r="F235" t="inlineStr">
        <is>
          <t>VÄSTRA GÖTALANDS LÄN</t>
        </is>
      </c>
      <c r="G235" t="inlineStr">
        <is>
          <t>TÖREBODA</t>
        </is>
      </c>
      <c r="I235" t="n">
        <v>1.6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4300-2025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45685</v>
      </c>
      <c r="E236" s="1" t="n">
        <v>46322</v>
      </c>
      <c r="F236" t="inlineStr">
        <is>
          <t>VÄSTRA GÖTALANDS LÄN</t>
        </is>
      </c>
      <c r="G236" t="inlineStr">
        <is>
          <t>TÖREBODA</t>
        </is>
      </c>
      <c r="I236" t="n">
        <v>0.4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63113-2023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45273</v>
      </c>
      <c r="E237" s="1" t="n">
        <v>46322</v>
      </c>
      <c r="F237" t="inlineStr">
        <is>
          <t>VÄSTRA GÖTALANDS LÄN</t>
        </is>
      </c>
      <c r="G237" t="inlineStr">
        <is>
          <t>TÖREBODA</t>
        </is>
      </c>
      <c r="I237" t="n">
        <v>1.4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35487-2024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45531</v>
      </c>
      <c r="E238" s="1" t="n">
        <v>46322</v>
      </c>
      <c r="F238" t="inlineStr">
        <is>
          <t>VÄSTRA GÖTALANDS LÄN</t>
        </is>
      </c>
      <c r="G238" t="inlineStr">
        <is>
          <t>TÖREBODA</t>
        </is>
      </c>
      <c r="I238" t="n">
        <v>7.2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16265-2025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45750</v>
      </c>
      <c r="E239" s="1" t="n">
        <v>46322</v>
      </c>
      <c r="F239" t="inlineStr">
        <is>
          <t>VÄSTRA GÖTALANDS LÄN</t>
        </is>
      </c>
      <c r="G239" t="inlineStr">
        <is>
          <t>TÖREBODA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27251-2023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45096</v>
      </c>
      <c r="E240" s="1" t="n">
        <v>46322</v>
      </c>
      <c r="F240" t="inlineStr">
        <is>
          <t>VÄSTRA GÖTALANDS LÄN</t>
        </is>
      </c>
      <c r="G240" t="inlineStr">
        <is>
          <t>TÖREBODA</t>
        </is>
      </c>
      <c r="H240" t="inlineStr">
        <is>
          <t>Övriga statliga verk och myndigheter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7680-2023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44972</v>
      </c>
      <c r="E241" s="1" t="n">
        <v>46322</v>
      </c>
      <c r="F241" t="inlineStr">
        <is>
          <t>VÄSTRA GÖTALANDS LÄN</t>
        </is>
      </c>
      <c r="G241" t="inlineStr">
        <is>
          <t>TÖREBODA</t>
        </is>
      </c>
      <c r="I241" t="n">
        <v>7.4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56682-2024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45627</v>
      </c>
      <c r="E242" s="1" t="n">
        <v>46322</v>
      </c>
      <c r="F242" t="inlineStr">
        <is>
          <t>VÄSTRA GÖTALANDS LÄN</t>
        </is>
      </c>
      <c r="G242" t="inlineStr">
        <is>
          <t>TÖREBODA</t>
        </is>
      </c>
      <c r="I242" t="n">
        <v>0.7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34436-2022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44792</v>
      </c>
      <c r="E243" s="1" t="n">
        <v>46322</v>
      </c>
      <c r="F243" t="inlineStr">
        <is>
          <t>VÄSTRA GÖTALANDS LÄN</t>
        </is>
      </c>
      <c r="G243" t="inlineStr">
        <is>
          <t>TÖREBODA</t>
        </is>
      </c>
      <c r="I243" t="n">
        <v>4.1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37837-2023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45156</v>
      </c>
      <c r="E244" s="1" t="n">
        <v>46322</v>
      </c>
      <c r="F244" t="inlineStr">
        <is>
          <t>VÄSTRA GÖTALANDS LÄN</t>
        </is>
      </c>
      <c r="G244" t="inlineStr">
        <is>
          <t>TÖREBODA</t>
        </is>
      </c>
      <c r="I244" t="n">
        <v>2.4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3968-2024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45322</v>
      </c>
      <c r="E245" s="1" t="n">
        <v>46322</v>
      </c>
      <c r="F245" t="inlineStr">
        <is>
          <t>VÄSTRA GÖTALANDS LÄN</t>
        </is>
      </c>
      <c r="G245" t="inlineStr">
        <is>
          <t>TÖREBODA</t>
        </is>
      </c>
      <c r="I245" t="n">
        <v>5.9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39282-2026</t>
        </is>
      </c>
      <c r="B246" t="inlineStr">
        <is>
          <t>avverkningsanmälan</t>
        </is>
      </c>
      <c r="C246" t="inlineStr">
        <is>
          <t>Avverkning för annat ändamål</t>
        </is>
      </c>
      <c r="D246" s="1" t="n">
        <v>46288</v>
      </c>
      <c r="E246" s="1" t="n">
        <v>46322</v>
      </c>
      <c r="F246" t="inlineStr">
        <is>
          <t>VÄSTRA GÖTALANDS LÄN</t>
        </is>
      </c>
      <c r="G246" t="inlineStr">
        <is>
          <t>TÖREBODA</t>
        </is>
      </c>
      <c r="H246" t="inlineStr">
        <is>
          <t>Sveaskog</t>
        </is>
      </c>
      <c r="I246" t="n">
        <v>1.6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11683-2024</t>
        </is>
      </c>
      <c r="B247" t="inlineStr">
        <is>
          <t>avverkningsanmälan</t>
        </is>
      </c>
      <c r="C247" t="inlineStr">
        <is>
          <t>Avverkning för annat ändamål</t>
        </is>
      </c>
      <c r="D247" s="1" t="n">
        <v>45373</v>
      </c>
      <c r="E247" s="1" t="n">
        <v>46322</v>
      </c>
      <c r="F247" t="inlineStr">
        <is>
          <t>VÄSTRA GÖTALANDS LÄN</t>
        </is>
      </c>
      <c r="G247" t="inlineStr">
        <is>
          <t>TÖREBODA</t>
        </is>
      </c>
      <c r="I247" t="n">
        <v>23.8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57984-2022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44900</v>
      </c>
      <c r="E248" s="1" t="n">
        <v>46322</v>
      </c>
      <c r="F248" t="inlineStr">
        <is>
          <t>VÄSTRA GÖTALANDS LÄN</t>
        </is>
      </c>
      <c r="G248" t="inlineStr">
        <is>
          <t>TÖREBODA</t>
        </is>
      </c>
      <c r="I248" t="n">
        <v>5.9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39473-2026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46288</v>
      </c>
      <c r="E249" s="1" t="n">
        <v>46322</v>
      </c>
      <c r="F249" t="inlineStr">
        <is>
          <t>VÄSTRA GÖTALANDS LÄN</t>
        </is>
      </c>
      <c r="G249" t="inlineStr">
        <is>
          <t>TÖREBODA</t>
        </is>
      </c>
      <c r="I249" t="n">
        <v>3.1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51040-2022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44868</v>
      </c>
      <c r="E250" s="1" t="n">
        <v>46322</v>
      </c>
      <c r="F250" t="inlineStr">
        <is>
          <t>VÄSTRA GÖTALANDS LÄN</t>
        </is>
      </c>
      <c r="G250" t="inlineStr">
        <is>
          <t>TÖREBODA</t>
        </is>
      </c>
      <c r="I250" t="n">
        <v>1.7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39474-2026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46288</v>
      </c>
      <c r="E251" s="1" t="n">
        <v>46322</v>
      </c>
      <c r="F251" t="inlineStr">
        <is>
          <t>VÄSTRA GÖTALANDS LÄN</t>
        </is>
      </c>
      <c r="G251" t="inlineStr">
        <is>
          <t>TÖREBODA</t>
        </is>
      </c>
      <c r="I251" t="n">
        <v>1.5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19256-2023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45049</v>
      </c>
      <c r="E252" s="1" t="n">
        <v>46322</v>
      </c>
      <c r="F252" t="inlineStr">
        <is>
          <t>VÄSTRA GÖTALANDS LÄN</t>
        </is>
      </c>
      <c r="G252" t="inlineStr">
        <is>
          <t>TÖREBODA</t>
        </is>
      </c>
      <c r="I252" t="n">
        <v>1.4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16267-2025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45750</v>
      </c>
      <c r="E253" s="1" t="n">
        <v>46322</v>
      </c>
      <c r="F253" t="inlineStr">
        <is>
          <t>VÄSTRA GÖTALANDS LÄN</t>
        </is>
      </c>
      <c r="G253" t="inlineStr">
        <is>
          <t>TÖREBODA</t>
        </is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33522-2026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46248</v>
      </c>
      <c r="E254" s="1" t="n">
        <v>46322</v>
      </c>
      <c r="F254" t="inlineStr">
        <is>
          <t>VÄSTRA GÖTALANDS LÄN</t>
        </is>
      </c>
      <c r="G254" t="inlineStr">
        <is>
          <t>TÖREBODA</t>
        </is>
      </c>
      <c r="H254" t="inlineStr">
        <is>
          <t>Sveaskog</t>
        </is>
      </c>
      <c r="I254" t="n">
        <v>7.5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33523-2026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46248</v>
      </c>
      <c r="E255" s="1" t="n">
        <v>46322</v>
      </c>
      <c r="F255" t="inlineStr">
        <is>
          <t>VÄSTRA GÖTALANDS LÄN</t>
        </is>
      </c>
      <c r="G255" t="inlineStr">
        <is>
          <t>TÖREBODA</t>
        </is>
      </c>
      <c r="H255" t="inlineStr">
        <is>
          <t>Sveaskog</t>
        </is>
      </c>
      <c r="I255" t="n">
        <v>1.7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20471-2026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46140</v>
      </c>
      <c r="E256" s="1" t="n">
        <v>46322</v>
      </c>
      <c r="F256" t="inlineStr">
        <is>
          <t>VÄSTRA GÖTALANDS LÄN</t>
        </is>
      </c>
      <c r="G256" t="inlineStr">
        <is>
          <t>TÖREBODA</t>
        </is>
      </c>
      <c r="H256" t="inlineStr">
        <is>
          <t>Sveaskog</t>
        </is>
      </c>
      <c r="I256" t="n">
        <v>3.1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5819-2025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45694</v>
      </c>
      <c r="E257" s="1" t="n">
        <v>46322</v>
      </c>
      <c r="F257" t="inlineStr">
        <is>
          <t>VÄSTRA GÖTALANDS LÄN</t>
        </is>
      </c>
      <c r="G257" t="inlineStr">
        <is>
          <t>TÖREBODA</t>
        </is>
      </c>
      <c r="I257" t="n">
        <v>0.7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33754-2023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45133</v>
      </c>
      <c r="E258" s="1" t="n">
        <v>46322</v>
      </c>
      <c r="F258" t="inlineStr">
        <is>
          <t>VÄSTRA GÖTALANDS LÄN</t>
        </is>
      </c>
      <c r="G258" t="inlineStr">
        <is>
          <t>TÖREBODA</t>
        </is>
      </c>
      <c r="I258" t="n">
        <v>3.9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21187-2026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46146</v>
      </c>
      <c r="E259" s="1" t="n">
        <v>46322</v>
      </c>
      <c r="F259" t="inlineStr">
        <is>
          <t>VÄSTRA GÖTALANDS LÄN</t>
        </is>
      </c>
      <c r="G259" t="inlineStr">
        <is>
          <t>TÖREBODA</t>
        </is>
      </c>
      <c r="I259" t="n">
        <v>3.8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20391-2023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45056</v>
      </c>
      <c r="E260" s="1" t="n">
        <v>46322</v>
      </c>
      <c r="F260" t="inlineStr">
        <is>
          <t>VÄSTRA GÖTALANDS LÄN</t>
        </is>
      </c>
      <c r="G260" t="inlineStr">
        <is>
          <t>TÖREBODA</t>
        </is>
      </c>
      <c r="I260" t="n">
        <v>6.5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33524-2026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46248</v>
      </c>
      <c r="E261" s="1" t="n">
        <v>46322</v>
      </c>
      <c r="F261" t="inlineStr">
        <is>
          <t>VÄSTRA GÖTALANDS LÄN</t>
        </is>
      </c>
      <c r="G261" t="inlineStr">
        <is>
          <t>TÖREBODA</t>
        </is>
      </c>
      <c r="H261" t="inlineStr">
        <is>
          <t>Sveaskog</t>
        </is>
      </c>
      <c r="I261" t="n">
        <v>3.1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11159-2023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44987</v>
      </c>
      <c r="E262" s="1" t="n">
        <v>46322</v>
      </c>
      <c r="F262" t="inlineStr">
        <is>
          <t>VÄSTRA GÖTALANDS LÄN</t>
        </is>
      </c>
      <c r="G262" t="inlineStr">
        <is>
          <t>TÖREBODA</t>
        </is>
      </c>
      <c r="I262" t="n">
        <v>2.4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21966-2026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46152</v>
      </c>
      <c r="E263" s="1" t="n">
        <v>46322</v>
      </c>
      <c r="F263" t="inlineStr">
        <is>
          <t>VÄSTRA GÖTALANDS LÄN</t>
        </is>
      </c>
      <c r="G263" t="inlineStr">
        <is>
          <t>TÖREBODA</t>
        </is>
      </c>
      <c r="I263" t="n">
        <v>8.6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21967-2026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46152</v>
      </c>
      <c r="E264" s="1" t="n">
        <v>46322</v>
      </c>
      <c r="F264" t="inlineStr">
        <is>
          <t>VÄSTRA GÖTALANDS LÄN</t>
        </is>
      </c>
      <c r="G264" t="inlineStr">
        <is>
          <t>TÖREBODA</t>
        </is>
      </c>
      <c r="I264" t="n">
        <v>0.6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21968-2026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46152</v>
      </c>
      <c r="E265" s="1" t="n">
        <v>46322</v>
      </c>
      <c r="F265" t="inlineStr">
        <is>
          <t>VÄSTRA GÖTALANDS LÄN</t>
        </is>
      </c>
      <c r="G265" t="inlineStr">
        <is>
          <t>TÖREBODA</t>
        </is>
      </c>
      <c r="I265" t="n">
        <v>3.7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21961-2026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46152</v>
      </c>
      <c r="E266" s="1" t="n">
        <v>46322</v>
      </c>
      <c r="F266" t="inlineStr">
        <is>
          <t>VÄSTRA GÖTALANDS LÄN</t>
        </is>
      </c>
      <c r="G266" t="inlineStr">
        <is>
          <t>TÖREBODA</t>
        </is>
      </c>
      <c r="I266" t="n">
        <v>0.8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21962-2026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46152</v>
      </c>
      <c r="E267" s="1" t="n">
        <v>46322</v>
      </c>
      <c r="F267" t="inlineStr">
        <is>
          <t>VÄSTRA GÖTALANDS LÄN</t>
        </is>
      </c>
      <c r="G267" t="inlineStr">
        <is>
          <t>TÖREBODA</t>
        </is>
      </c>
      <c r="I267" t="n">
        <v>0.6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21965-2026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46152</v>
      </c>
      <c r="E268" s="1" t="n">
        <v>46322</v>
      </c>
      <c r="F268" t="inlineStr">
        <is>
          <t>VÄSTRA GÖTALANDS LÄN</t>
        </is>
      </c>
      <c r="G268" t="inlineStr">
        <is>
          <t>TÖREBODA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10185-2023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44986</v>
      </c>
      <c r="E269" s="1" t="n">
        <v>46322</v>
      </c>
      <c r="F269" t="inlineStr">
        <is>
          <t>VÄSTRA GÖTALANDS LÄN</t>
        </is>
      </c>
      <c r="G269" t="inlineStr">
        <is>
          <t>TÖREBODA</t>
        </is>
      </c>
      <c r="I269" t="n">
        <v>1.1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21964-2026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46152</v>
      </c>
      <c r="E270" s="1" t="n">
        <v>46322</v>
      </c>
      <c r="F270" t="inlineStr">
        <is>
          <t>VÄSTRA GÖTALANDS LÄN</t>
        </is>
      </c>
      <c r="G270" t="inlineStr">
        <is>
          <t>TÖREBODA</t>
        </is>
      </c>
      <c r="I270" t="n">
        <v>8.699999999999999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21963-2026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46152</v>
      </c>
      <c r="E271" s="1" t="n">
        <v>46322</v>
      </c>
      <c r="F271" t="inlineStr">
        <is>
          <t>VÄSTRA GÖTALANDS LÄN</t>
        </is>
      </c>
      <c r="G271" t="inlineStr">
        <is>
          <t>TÖREBODA</t>
        </is>
      </c>
      <c r="I271" t="n">
        <v>0.4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6442-2025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45699</v>
      </c>
      <c r="E272" s="1" t="n">
        <v>46322</v>
      </c>
      <c r="F272" t="inlineStr">
        <is>
          <t>VÄSTRA GÖTALANDS LÄN</t>
        </is>
      </c>
      <c r="G272" t="inlineStr">
        <is>
          <t>TÖREBODA</t>
        </is>
      </c>
      <c r="I272" t="n">
        <v>2.2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1981-2025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45665</v>
      </c>
      <c r="E273" s="1" t="n">
        <v>46322</v>
      </c>
      <c r="F273" t="inlineStr">
        <is>
          <t>VÄSTRA GÖTALANDS LÄN</t>
        </is>
      </c>
      <c r="G273" t="inlineStr">
        <is>
          <t>TÖREBODA</t>
        </is>
      </c>
      <c r="I273" t="n">
        <v>1.9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13056-2023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45002</v>
      </c>
      <c r="E274" s="1" t="n">
        <v>46322</v>
      </c>
      <c r="F274" t="inlineStr">
        <is>
          <t>VÄSTRA GÖTALANDS LÄN</t>
        </is>
      </c>
      <c r="G274" t="inlineStr">
        <is>
          <t>TÖREBODA</t>
        </is>
      </c>
      <c r="I274" t="n">
        <v>1.1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4941-2023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44958</v>
      </c>
      <c r="E275" s="1" t="n">
        <v>46322</v>
      </c>
      <c r="F275" t="inlineStr">
        <is>
          <t>VÄSTRA GÖTALANDS LÄN</t>
        </is>
      </c>
      <c r="G275" t="inlineStr">
        <is>
          <t>TÖREBODA</t>
        </is>
      </c>
      <c r="I275" t="n">
        <v>1.1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62359-2022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44923</v>
      </c>
      <c r="E276" s="1" t="n">
        <v>46322</v>
      </c>
      <c r="F276" t="inlineStr">
        <is>
          <t>VÄSTRA GÖTALANDS LÄN</t>
        </is>
      </c>
      <c r="G276" t="inlineStr">
        <is>
          <t>TÖREBODA</t>
        </is>
      </c>
      <c r="I276" t="n">
        <v>3.5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62363-2022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44923</v>
      </c>
      <c r="E277" s="1" t="n">
        <v>46322</v>
      </c>
      <c r="F277" t="inlineStr">
        <is>
          <t>VÄSTRA GÖTALANDS LÄN</t>
        </is>
      </c>
      <c r="G277" t="inlineStr">
        <is>
          <t>TÖREBODA</t>
        </is>
      </c>
      <c r="I277" t="n">
        <v>0.4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40598-2024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45556</v>
      </c>
      <c r="E278" s="1" t="n">
        <v>46322</v>
      </c>
      <c r="F278" t="inlineStr">
        <is>
          <t>VÄSTRA GÖTALANDS LÄN</t>
        </is>
      </c>
      <c r="G278" t="inlineStr">
        <is>
          <t>TÖREBODA</t>
        </is>
      </c>
      <c r="I278" t="n">
        <v>2.4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28183-2022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44746</v>
      </c>
      <c r="E279" s="1" t="n">
        <v>46322</v>
      </c>
      <c r="F279" t="inlineStr">
        <is>
          <t>VÄSTRA GÖTALANDS LÄN</t>
        </is>
      </c>
      <c r="G279" t="inlineStr">
        <is>
          <t>TÖREBODA</t>
        </is>
      </c>
      <c r="I279" t="n">
        <v>1.2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33713-2026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46251</v>
      </c>
      <c r="E280" s="1" t="n">
        <v>46322</v>
      </c>
      <c r="F280" t="inlineStr">
        <is>
          <t>VÄSTRA GÖTALANDS LÄN</t>
        </is>
      </c>
      <c r="G280" t="inlineStr">
        <is>
          <t>TÖREBODA</t>
        </is>
      </c>
      <c r="H280" t="inlineStr">
        <is>
          <t>Sveaskog</t>
        </is>
      </c>
      <c r="I280" t="n">
        <v>1.8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17360-2024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45414</v>
      </c>
      <c r="E281" s="1" t="n">
        <v>46322</v>
      </c>
      <c r="F281" t="inlineStr">
        <is>
          <t>VÄSTRA GÖTALANDS LÄN</t>
        </is>
      </c>
      <c r="G281" t="inlineStr">
        <is>
          <t>TÖREBODA</t>
        </is>
      </c>
      <c r="I281" t="n">
        <v>1.9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59440-2022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44907</v>
      </c>
      <c r="E282" s="1" t="n">
        <v>46322</v>
      </c>
      <c r="F282" t="inlineStr">
        <is>
          <t>VÄSTRA GÖTALANDS LÄN</t>
        </is>
      </c>
      <c r="G282" t="inlineStr">
        <is>
          <t>TÖREBODA</t>
        </is>
      </c>
      <c r="I282" t="n">
        <v>1.4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59315-2024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45637</v>
      </c>
      <c r="E283" s="1" t="n">
        <v>46322</v>
      </c>
      <c r="F283" t="inlineStr">
        <is>
          <t>VÄSTRA GÖTALANDS LÄN</t>
        </is>
      </c>
      <c r="G283" t="inlineStr">
        <is>
          <t>TÖREBODA</t>
        </is>
      </c>
      <c r="I283" t="n">
        <v>2.3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42109-2024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45562</v>
      </c>
      <c r="E284" s="1" t="n">
        <v>46322</v>
      </c>
      <c r="F284" t="inlineStr">
        <is>
          <t>VÄSTRA GÖTALANDS LÄN</t>
        </is>
      </c>
      <c r="G284" t="inlineStr">
        <is>
          <t>TÖREBODA</t>
        </is>
      </c>
      <c r="I284" t="n">
        <v>6.2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45161-2023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45191</v>
      </c>
      <c r="E285" s="1" t="n">
        <v>46322</v>
      </c>
      <c r="F285" t="inlineStr">
        <is>
          <t>VÄSTRA GÖTALANDS LÄN</t>
        </is>
      </c>
      <c r="G285" t="inlineStr">
        <is>
          <t>TÖREBODA</t>
        </is>
      </c>
      <c r="I285" t="n">
        <v>2.4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6811-2025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45700</v>
      </c>
      <c r="E286" s="1" t="n">
        <v>46322</v>
      </c>
      <c r="F286" t="inlineStr">
        <is>
          <t>VÄSTRA GÖTALANDS LÄN</t>
        </is>
      </c>
      <c r="G286" t="inlineStr">
        <is>
          <t>TÖREBODA</t>
        </is>
      </c>
      <c r="I286" t="n">
        <v>7.1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33276-2023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45127</v>
      </c>
      <c r="E287" s="1" t="n">
        <v>46322</v>
      </c>
      <c r="F287" t="inlineStr">
        <is>
          <t>VÄSTRA GÖTALANDS LÄN</t>
        </is>
      </c>
      <c r="G287" t="inlineStr">
        <is>
          <t>TÖREBODA</t>
        </is>
      </c>
      <c r="I287" t="n">
        <v>2.6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24160-2026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46168</v>
      </c>
      <c r="E288" s="1" t="n">
        <v>46322</v>
      </c>
      <c r="F288" t="inlineStr">
        <is>
          <t>VÄSTRA GÖTALANDS LÄN</t>
        </is>
      </c>
      <c r="G288" t="inlineStr">
        <is>
          <t>TÖREBODA</t>
        </is>
      </c>
      <c r="H288" t="inlineStr">
        <is>
          <t>Sveaskog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24161-2026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46168</v>
      </c>
      <c r="E289" s="1" t="n">
        <v>46322</v>
      </c>
      <c r="F289" t="inlineStr">
        <is>
          <t>VÄSTRA GÖTALANDS LÄN</t>
        </is>
      </c>
      <c r="G289" t="inlineStr">
        <is>
          <t>TÖREBODA</t>
        </is>
      </c>
      <c r="H289" t="inlineStr">
        <is>
          <t>Sveaskog</t>
        </is>
      </c>
      <c r="I289" t="n">
        <v>4.3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33715-2026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46251</v>
      </c>
      <c r="E290" s="1" t="n">
        <v>46322</v>
      </c>
      <c r="F290" t="inlineStr">
        <is>
          <t>VÄSTRA GÖTALANDS LÄN</t>
        </is>
      </c>
      <c r="G290" t="inlineStr">
        <is>
          <t>TÖREBODA</t>
        </is>
      </c>
      <c r="H290" t="inlineStr">
        <is>
          <t>Sveaskog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40848-2026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46296</v>
      </c>
      <c r="E291" s="1" t="n">
        <v>46322</v>
      </c>
      <c r="F291" t="inlineStr">
        <is>
          <t>VÄSTRA GÖTALANDS LÄN</t>
        </is>
      </c>
      <c r="G291" t="inlineStr">
        <is>
          <t>TÖREBODA</t>
        </is>
      </c>
      <c r="I291" t="n">
        <v>1.8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18687-2025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45763</v>
      </c>
      <c r="E292" s="1" t="n">
        <v>46322</v>
      </c>
      <c r="F292" t="inlineStr">
        <is>
          <t>VÄSTRA GÖTALANDS LÄN</t>
        </is>
      </c>
      <c r="G292" t="inlineStr">
        <is>
          <t>TÖREBODA</t>
        </is>
      </c>
      <c r="I292" t="n">
        <v>1.1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1554-2023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44937</v>
      </c>
      <c r="E293" s="1" t="n">
        <v>46322</v>
      </c>
      <c r="F293" t="inlineStr">
        <is>
          <t>VÄSTRA GÖTALANDS LÄN</t>
        </is>
      </c>
      <c r="G293" t="inlineStr">
        <is>
          <t>TÖREBODA</t>
        </is>
      </c>
      <c r="H293" t="inlineStr">
        <is>
          <t>Övriga statliga verk och myndigheter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39791-2024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45553</v>
      </c>
      <c r="E294" s="1" t="n">
        <v>46322</v>
      </c>
      <c r="F294" t="inlineStr">
        <is>
          <t>VÄSTRA GÖTALANDS LÄN</t>
        </is>
      </c>
      <c r="G294" t="inlineStr">
        <is>
          <t>TÖREBODA</t>
        </is>
      </c>
      <c r="I294" t="n">
        <v>3.8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58013-2022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44900</v>
      </c>
      <c r="E295" s="1" t="n">
        <v>46322</v>
      </c>
      <c r="F295" t="inlineStr">
        <is>
          <t>VÄSTRA GÖTALANDS LÄN</t>
        </is>
      </c>
      <c r="G295" t="inlineStr">
        <is>
          <t>TÖREBODA</t>
        </is>
      </c>
      <c r="I295" t="n">
        <v>2.5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53791-2023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45231</v>
      </c>
      <c r="E296" s="1" t="n">
        <v>46322</v>
      </c>
      <c r="F296" t="inlineStr">
        <is>
          <t>VÄSTRA GÖTALANDS LÄN</t>
        </is>
      </c>
      <c r="G296" t="inlineStr">
        <is>
          <t>TÖREBODA</t>
        </is>
      </c>
      <c r="H296" t="inlineStr">
        <is>
          <t>Sveaskog</t>
        </is>
      </c>
      <c r="I296" t="n">
        <v>1.5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39660-2024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45552</v>
      </c>
      <c r="E297" s="1" t="n">
        <v>46322</v>
      </c>
      <c r="F297" t="inlineStr">
        <is>
          <t>VÄSTRA GÖTALANDS LÄN</t>
        </is>
      </c>
      <c r="G297" t="inlineStr">
        <is>
          <t>TÖREBODA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18449-2024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45425</v>
      </c>
      <c r="E298" s="1" t="n">
        <v>46322</v>
      </c>
      <c r="F298" t="inlineStr">
        <is>
          <t>VÄSTRA GÖTALANDS LÄN</t>
        </is>
      </c>
      <c r="G298" t="inlineStr">
        <is>
          <t>TÖREBODA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23662-2023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45077</v>
      </c>
      <c r="E299" s="1" t="n">
        <v>46322</v>
      </c>
      <c r="F299" t="inlineStr">
        <is>
          <t>VÄSTRA GÖTALANDS LÄN</t>
        </is>
      </c>
      <c r="G299" t="inlineStr">
        <is>
          <t>TÖREBODA</t>
        </is>
      </c>
      <c r="H299" t="inlineStr">
        <is>
          <t>Övriga Aktiebolag</t>
        </is>
      </c>
      <c r="I299" t="n">
        <v>3.2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58755-2022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44903</v>
      </c>
      <c r="E300" s="1" t="n">
        <v>46322</v>
      </c>
      <c r="F300" t="inlineStr">
        <is>
          <t>VÄSTRA GÖTALANDS LÄN</t>
        </is>
      </c>
      <c r="G300" t="inlineStr">
        <is>
          <t>TÖREBODA</t>
        </is>
      </c>
      <c r="I300" t="n">
        <v>3.2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22861-2024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45448</v>
      </c>
      <c r="E301" s="1" t="n">
        <v>46322</v>
      </c>
      <c r="F301" t="inlineStr">
        <is>
          <t>VÄSTRA GÖTALANDS LÄN</t>
        </is>
      </c>
      <c r="G301" t="inlineStr">
        <is>
          <t>TÖREBODA</t>
        </is>
      </c>
      <c r="H301" t="inlineStr">
        <is>
          <t>Övriga statliga verk och myndigheter</t>
        </is>
      </c>
      <c r="I301" t="n">
        <v>3.9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32463-2022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44782</v>
      </c>
      <c r="E302" s="1" t="n">
        <v>46322</v>
      </c>
      <c r="F302" t="inlineStr">
        <is>
          <t>VÄSTRA GÖTALANDS LÄN</t>
        </is>
      </c>
      <c r="G302" t="inlineStr">
        <is>
          <t>TÖREBODA</t>
        </is>
      </c>
      <c r="H302" t="inlineStr">
        <is>
          <t>Övriga statliga verk och myndigheter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42505-2026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46308</v>
      </c>
      <c r="E303" s="1" t="n">
        <v>46322</v>
      </c>
      <c r="F303" t="inlineStr">
        <is>
          <t>VÄSTRA GÖTALANDS LÄN</t>
        </is>
      </c>
      <c r="G303" t="inlineStr">
        <is>
          <t>TÖREBODA</t>
        </is>
      </c>
      <c r="I303" t="n">
        <v>0.7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42470-2026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46308</v>
      </c>
      <c r="E304" s="1" t="n">
        <v>46322</v>
      </c>
      <c r="F304" t="inlineStr">
        <is>
          <t>VÄSTRA GÖTALANDS LÄN</t>
        </is>
      </c>
      <c r="G304" t="inlineStr">
        <is>
          <t>TÖREBODA</t>
        </is>
      </c>
      <c r="I304" t="n">
        <v>0.9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36391-2026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46268</v>
      </c>
      <c r="E305" s="1" t="n">
        <v>46322</v>
      </c>
      <c r="F305" t="inlineStr">
        <is>
          <t>VÄSTRA GÖTALANDS LÄN</t>
        </is>
      </c>
      <c r="G305" t="inlineStr">
        <is>
          <t>TÖREBODA</t>
        </is>
      </c>
      <c r="H305" t="inlineStr">
        <is>
          <t>Sveaskog</t>
        </is>
      </c>
      <c r="I305" t="n">
        <v>2.3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36384-2026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46268</v>
      </c>
      <c r="E306" s="1" t="n">
        <v>46322</v>
      </c>
      <c r="F306" t="inlineStr">
        <is>
          <t>VÄSTRA GÖTALANDS LÄN</t>
        </is>
      </c>
      <c r="G306" t="inlineStr">
        <is>
          <t>TÖREBODA</t>
        </is>
      </c>
      <c r="H306" t="inlineStr">
        <is>
          <t>Sveaskog</t>
        </is>
      </c>
      <c r="I306" t="n">
        <v>5.9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36386-2026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46268</v>
      </c>
      <c r="E307" s="1" t="n">
        <v>46322</v>
      </c>
      <c r="F307" t="inlineStr">
        <is>
          <t>VÄSTRA GÖTALANDS LÄN</t>
        </is>
      </c>
      <c r="G307" t="inlineStr">
        <is>
          <t>TÖREBODA</t>
        </is>
      </c>
      <c r="H307" t="inlineStr">
        <is>
          <t>Sveaskog</t>
        </is>
      </c>
      <c r="I307" t="n">
        <v>1.2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36393-2026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46268</v>
      </c>
      <c r="E308" s="1" t="n">
        <v>46322</v>
      </c>
      <c r="F308" t="inlineStr">
        <is>
          <t>VÄSTRA GÖTALANDS LÄN</t>
        </is>
      </c>
      <c r="G308" t="inlineStr">
        <is>
          <t>TÖREBODA</t>
        </is>
      </c>
      <c r="H308" t="inlineStr">
        <is>
          <t>Sveaskog</t>
        </is>
      </c>
      <c r="I308" t="n">
        <v>1.9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36390-2026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46268</v>
      </c>
      <c r="E309" s="1" t="n">
        <v>46322</v>
      </c>
      <c r="F309" t="inlineStr">
        <is>
          <t>VÄSTRA GÖTALANDS LÄN</t>
        </is>
      </c>
      <c r="G309" t="inlineStr">
        <is>
          <t>TÖREBODA</t>
        </is>
      </c>
      <c r="H309" t="inlineStr">
        <is>
          <t>Sveaskog</t>
        </is>
      </c>
      <c r="I309" t="n">
        <v>3.1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36277-2026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46268</v>
      </c>
      <c r="E310" s="1" t="n">
        <v>46322</v>
      </c>
      <c r="F310" t="inlineStr">
        <is>
          <t>VÄSTRA GÖTALANDS LÄN</t>
        </is>
      </c>
      <c r="G310" t="inlineStr">
        <is>
          <t>TÖREBODA</t>
        </is>
      </c>
      <c r="I310" t="n">
        <v>1.6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57670-2023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45246</v>
      </c>
      <c r="E311" s="1" t="n">
        <v>46322</v>
      </c>
      <c r="F311" t="inlineStr">
        <is>
          <t>VÄSTRA GÖTALANDS LÄN</t>
        </is>
      </c>
      <c r="G311" t="inlineStr">
        <is>
          <t>TÖREBODA</t>
        </is>
      </c>
      <c r="I311" t="n">
        <v>1.1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36387-2026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46268</v>
      </c>
      <c r="E312" s="1" t="n">
        <v>46322</v>
      </c>
      <c r="F312" t="inlineStr">
        <is>
          <t>VÄSTRA GÖTALANDS LÄN</t>
        </is>
      </c>
      <c r="G312" t="inlineStr">
        <is>
          <t>TÖREBODA</t>
        </is>
      </c>
      <c r="H312" t="inlineStr">
        <is>
          <t>Sveaskog</t>
        </is>
      </c>
      <c r="I312" t="n">
        <v>2.8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10442-2025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45720</v>
      </c>
      <c r="E313" s="1" t="n">
        <v>46322</v>
      </c>
      <c r="F313" t="inlineStr">
        <is>
          <t>VÄSTRA GÖTALANDS LÄN</t>
        </is>
      </c>
      <c r="G313" t="inlineStr">
        <is>
          <t>TÖREBODA</t>
        </is>
      </c>
      <c r="I313" t="n">
        <v>1.7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51626-2023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45215</v>
      </c>
      <c r="E314" s="1" t="n">
        <v>46322</v>
      </c>
      <c r="F314" t="inlineStr">
        <is>
          <t>VÄSTRA GÖTALANDS LÄN</t>
        </is>
      </c>
      <c r="G314" t="inlineStr">
        <is>
          <t>TÖREBODA</t>
        </is>
      </c>
      <c r="I314" t="n">
        <v>1.2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4194-2024</t>
        </is>
      </c>
      <c r="B315" t="inlineStr">
        <is>
          <t>avverkningsanmälan</t>
        </is>
      </c>
      <c r="C315" t="inlineStr">
        <is>
          <t>Avverkning för annat ändamål</t>
        </is>
      </c>
      <c r="D315" s="1" t="n">
        <v>45324</v>
      </c>
      <c r="E315" s="1" t="n">
        <v>46322</v>
      </c>
      <c r="F315" t="inlineStr">
        <is>
          <t>VÄSTRA GÖTALANDS LÄN</t>
        </is>
      </c>
      <c r="G315" t="inlineStr">
        <is>
          <t>TÖREBODA</t>
        </is>
      </c>
      <c r="I315" t="n">
        <v>28.9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43629-2026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46315</v>
      </c>
      <c r="E316" s="1" t="n">
        <v>46322</v>
      </c>
      <c r="F316" t="inlineStr">
        <is>
          <t>VÄSTRA GÖTALANDS LÄN</t>
        </is>
      </c>
      <c r="G316" t="inlineStr">
        <is>
          <t>TÖREBODA</t>
        </is>
      </c>
      <c r="I316" t="n">
        <v>7.1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43281-2026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46314</v>
      </c>
      <c r="E317" s="1" t="n">
        <v>46322</v>
      </c>
      <c r="F317" t="inlineStr">
        <is>
          <t>VÄSTRA GÖTALANDS LÄN</t>
        </is>
      </c>
      <c r="G317" t="inlineStr">
        <is>
          <t>TÖREBODA</t>
        </is>
      </c>
      <c r="I317" t="n">
        <v>3.1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44053-2026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46317</v>
      </c>
      <c r="E318" s="1" t="n">
        <v>46322</v>
      </c>
      <c r="F318" t="inlineStr">
        <is>
          <t>VÄSTRA GÖTALANDS LÄN</t>
        </is>
      </c>
      <c r="G318" t="inlineStr">
        <is>
          <t>TÖREBODA</t>
        </is>
      </c>
      <c r="H318" t="inlineStr">
        <is>
          <t>Övriga statliga verk och myndigheter</t>
        </is>
      </c>
      <c r="I318" t="n">
        <v>0.9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44004-2026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46317</v>
      </c>
      <c r="E319" s="1" t="n">
        <v>46322</v>
      </c>
      <c r="F319" t="inlineStr">
        <is>
          <t>VÄSTRA GÖTALANDS LÄN</t>
        </is>
      </c>
      <c r="G319" t="inlineStr">
        <is>
          <t>TÖREBODA</t>
        </is>
      </c>
      <c r="H319" t="inlineStr">
        <is>
          <t>Övriga statliga verk och myndigheter</t>
        </is>
      </c>
      <c r="I319" t="n">
        <v>4.4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44043-2026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46317</v>
      </c>
      <c r="E320" s="1" t="n">
        <v>46322</v>
      </c>
      <c r="F320" t="inlineStr">
        <is>
          <t>VÄSTRA GÖTALANDS LÄN</t>
        </is>
      </c>
      <c r="G320" t="inlineStr">
        <is>
          <t>TÖREBODA</t>
        </is>
      </c>
      <c r="H320" t="inlineStr">
        <is>
          <t>Övriga statliga verk och myndigheter</t>
        </is>
      </c>
      <c r="I320" t="n">
        <v>6.7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43768-2026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46316</v>
      </c>
      <c r="E321" s="1" t="n">
        <v>46322</v>
      </c>
      <c r="F321" t="inlineStr">
        <is>
          <t>VÄSTRA GÖTALANDS LÄN</t>
        </is>
      </c>
      <c r="G321" t="inlineStr">
        <is>
          <t>TÖREBODA</t>
        </is>
      </c>
      <c r="H321" t="inlineStr">
        <is>
          <t>Övriga statliga verk och myndigheter</t>
        </is>
      </c>
      <c r="I321" t="n">
        <v>3.2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43759-2026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46316</v>
      </c>
      <c r="E322" s="1" t="n">
        <v>46322</v>
      </c>
      <c r="F322" t="inlineStr">
        <is>
          <t>VÄSTRA GÖTALANDS LÄN</t>
        </is>
      </c>
      <c r="G322" t="inlineStr">
        <is>
          <t>TÖREBODA</t>
        </is>
      </c>
      <c r="H322" t="inlineStr">
        <is>
          <t>Övriga statliga verk och myndigheter</t>
        </is>
      </c>
      <c r="I322" t="n">
        <v>1.8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44029-2026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46317</v>
      </c>
      <c r="E323" s="1" t="n">
        <v>46322</v>
      </c>
      <c r="F323" t="inlineStr">
        <is>
          <t>VÄSTRA GÖTALANDS LÄN</t>
        </is>
      </c>
      <c r="G323" t="inlineStr">
        <is>
          <t>TÖREBODA</t>
        </is>
      </c>
      <c r="H323" t="inlineStr">
        <is>
          <t>Övriga statliga verk och myndigheter</t>
        </is>
      </c>
      <c r="I323" t="n">
        <v>2.7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43973-2026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46317</v>
      </c>
      <c r="E324" s="1" t="n">
        <v>46322</v>
      </c>
      <c r="F324" t="inlineStr">
        <is>
          <t>VÄSTRA GÖTALANDS LÄN</t>
        </is>
      </c>
      <c r="G324" t="inlineStr">
        <is>
          <t>TÖREBODA</t>
        </is>
      </c>
      <c r="H324" t="inlineStr">
        <is>
          <t>Övriga statliga verk och myndigheter</t>
        </is>
      </c>
      <c r="I324" t="n">
        <v>1.4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44050-2026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46317</v>
      </c>
      <c r="E325" s="1" t="n">
        <v>46322</v>
      </c>
      <c r="F325" t="inlineStr">
        <is>
          <t>VÄSTRA GÖTALANDS LÄN</t>
        </is>
      </c>
      <c r="G325" t="inlineStr">
        <is>
          <t>TÖREBODA</t>
        </is>
      </c>
      <c r="H325" t="inlineStr">
        <is>
          <t>Övriga statliga verk och myndigheter</t>
        </is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43998-2026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46317</v>
      </c>
      <c r="E326" s="1" t="n">
        <v>46322</v>
      </c>
      <c r="F326" t="inlineStr">
        <is>
          <t>VÄSTRA GÖTALANDS LÄN</t>
        </is>
      </c>
      <c r="G326" t="inlineStr">
        <is>
          <t>TÖREBODA</t>
        </is>
      </c>
      <c r="H326" t="inlineStr">
        <is>
          <t>Övriga statliga verk och myndigheter</t>
        </is>
      </c>
      <c r="I326" t="n">
        <v>8.800000000000001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37453-2026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46275</v>
      </c>
      <c r="E327" s="1" t="n">
        <v>46322</v>
      </c>
      <c r="F327" t="inlineStr">
        <is>
          <t>VÄSTRA GÖTALANDS LÄN</t>
        </is>
      </c>
      <c r="G327" t="inlineStr">
        <is>
          <t>TÖREBODA</t>
        </is>
      </c>
      <c r="I327" t="n">
        <v>1.4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44473-2026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46321</v>
      </c>
      <c r="E328" s="1" t="n">
        <v>46322</v>
      </c>
      <c r="F328" t="inlineStr">
        <is>
          <t>VÄSTRA GÖTALANDS LÄN</t>
        </is>
      </c>
      <c r="G328" t="inlineStr">
        <is>
          <t>TÖREBODA</t>
        </is>
      </c>
      <c r="H328" t="inlineStr">
        <is>
          <t>Övriga statliga verk och myndigheter</t>
        </is>
      </c>
      <c r="I328" t="n">
        <v>3.3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41982-2026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46303</v>
      </c>
      <c r="E329" s="1" t="n">
        <v>46322</v>
      </c>
      <c r="F329" t="inlineStr">
        <is>
          <t>VÄSTRA GÖTALANDS LÄN</t>
        </is>
      </c>
      <c r="G329" t="inlineStr">
        <is>
          <t>TÖREBODA</t>
        </is>
      </c>
      <c r="I329" t="n">
        <v>0.9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44466-2026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46321</v>
      </c>
      <c r="E330" s="1" t="n">
        <v>46322</v>
      </c>
      <c r="F330" t="inlineStr">
        <is>
          <t>VÄSTRA GÖTALANDS LÄN</t>
        </is>
      </c>
      <c r="G330" t="inlineStr">
        <is>
          <t>TÖREBODA</t>
        </is>
      </c>
      <c r="H330" t="inlineStr">
        <is>
          <t>Övriga statliga verk och myndigheter</t>
        </is>
      </c>
      <c r="I330" t="n">
        <v>3.5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33396-2025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45841</v>
      </c>
      <c r="E331" s="1" t="n">
        <v>46322</v>
      </c>
      <c r="F331" t="inlineStr">
        <is>
          <t>VÄSTRA GÖTALANDS LÄN</t>
        </is>
      </c>
      <c r="G331" t="inlineStr">
        <is>
          <t>TÖREBODA</t>
        </is>
      </c>
      <c r="H331" t="inlineStr">
        <is>
          <t>Övriga statliga verk och myndigheter</t>
        </is>
      </c>
      <c r="I331" t="n">
        <v>3.3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S 277-2025</t>
        </is>
      </c>
      <c r="B332" t="inlineStr">
        <is>
          <t>samrådsanmälan</t>
        </is>
      </c>
      <c r="C332" t="inlineStr">
        <is>
          <t>Askåterföring</t>
        </is>
      </c>
      <c r="D332" s="1" t="n">
        <v>45685</v>
      </c>
      <c r="E332" s="1" t="n">
        <v>46322</v>
      </c>
      <c r="F332" t="inlineStr">
        <is>
          <t>VÄSTRA GÖTALANDS LÄN</t>
        </is>
      </c>
      <c r="G332" t="inlineStr">
        <is>
          <t>TÖREBODA</t>
        </is>
      </c>
      <c r="I332" t="n">
        <v>186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S 671-2025</t>
        </is>
      </c>
      <c r="B333" t="inlineStr">
        <is>
          <t>samrådsanmälan</t>
        </is>
      </c>
      <c r="C333" t="inlineStr">
        <is>
          <t>Askåterföring</t>
        </is>
      </c>
      <c r="D333" s="1" t="n">
        <v>45716</v>
      </c>
      <c r="E333" s="1" t="n">
        <v>46322</v>
      </c>
      <c r="F333" t="inlineStr">
        <is>
          <t>VÄSTRA GÖTALANDS LÄN</t>
        </is>
      </c>
      <c r="G333" t="inlineStr">
        <is>
          <t>TÖREBODA</t>
        </is>
      </c>
      <c r="I333" t="n">
        <v>56.1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S 670-2025</t>
        </is>
      </c>
      <c r="B334" t="inlineStr">
        <is>
          <t>samrådsanmälan</t>
        </is>
      </c>
      <c r="C334" t="inlineStr">
        <is>
          <t>Askåterföring</t>
        </is>
      </c>
      <c r="D334" s="1" t="n">
        <v>45716</v>
      </c>
      <c r="E334" s="1" t="n">
        <v>46322</v>
      </c>
      <c r="F334" t="inlineStr">
        <is>
          <t>VÄSTRA GÖTALANDS LÄN</t>
        </is>
      </c>
      <c r="G334" t="inlineStr">
        <is>
          <t>TÖREBODA</t>
        </is>
      </c>
      <c r="I334" t="n">
        <v>23.4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>
      <c r="A335" t="inlineStr">
        <is>
          <t>S 178-2026</t>
        </is>
      </c>
      <c r="B335" t="inlineStr">
        <is>
          <t>samrådsanmälan</t>
        </is>
      </c>
      <c r="C335" t="inlineStr">
        <is>
          <t>Skogsgödsling</t>
        </is>
      </c>
      <c r="D335" s="1" t="n">
        <v>46045</v>
      </c>
      <c r="E335" s="1" t="n">
        <v>46322</v>
      </c>
      <c r="F335" t="inlineStr">
        <is>
          <t>VÄSTRA GÖTALANDS LÄN</t>
        </is>
      </c>
      <c r="G335" t="inlineStr">
        <is>
          <t>TÖREBODA</t>
        </is>
      </c>
      <c r="I335" t="n">
        <v>12.5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2026-10-27T03:10:11Z</dcterms:created>
  <dcterms:modified xmlns:dcterms="http://purl.org/dc/terms/" xmlns:xsi="http://www.w3.org/2001/XMLSchema-instance" xsi:type="dcterms:W3CDTF">2026-10-27T03:10:11Z</dcterms:modified>
</cp:coreProperties>
</file>