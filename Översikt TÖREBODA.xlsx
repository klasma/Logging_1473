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46297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46297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46297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46297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46297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46297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46297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46297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46297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46297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46297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46297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46297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46297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46297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46297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46297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46297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17540-2025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45757</v>
      </c>
      <c r="E24" s="1" t="n">
        <v>46297</v>
      </c>
      <c r="F24" t="inlineStr">
        <is>
          <t>VÄSTRA GÖTALANDS LÄN</t>
        </is>
      </c>
      <c r="G24" t="inlineStr">
        <is>
          <t>TÖREBODA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Vattenfladdermus</t>
        </is>
      </c>
      <c r="W24">
        <f>HYPERLINK("https://klasma.github.io/Logging_1473/artfynd/A 17540-2025 artfynd.xlsx", "A 17540-2025")</f>
        <v/>
      </c>
      <c r="X24">
        <f>HYPERLINK("https://klasma.github.io/Logging_1473/kartor/A 17540-2025 karta.png", "A 17540-2025")</f>
        <v/>
      </c>
      <c r="Y24">
        <f>HYPERLINK("https://klasma.github.io/Logging_1473/kartor_geotiff/A 17540-2025 georefererad karta.tif", "A 17540-2025")</f>
        <v/>
      </c>
      <c r="AA24">
        <f>HYPERLINK("https://klasma.github.io/Logging_1473/klagomål/A 17540-2025 FSC-klagomål.docx", "A 17540-2025")</f>
        <v/>
      </c>
      <c r="AB24">
        <f>HYPERLINK("https://klasma.github.io/Logging_1473/klagomålsmail/A 17540-2025 FSC-klagomål mail.docx", "A 17540-2025")</f>
        <v/>
      </c>
      <c r="AC24">
        <f>HYPERLINK("https://klasma.github.io/Logging_1473/tillsyn/A 17540-2025 tillsynsbegäran.docx", "A 17540-2025")</f>
        <v/>
      </c>
      <c r="AD24">
        <f>HYPERLINK("https://klasma.github.io/Logging_1473/tillsynsmail/A 17540-2025 tillsynsbegäran mail.docx", "A 17540-2025")</f>
        <v/>
      </c>
    </row>
    <row r="25" ht="15" customHeight="1">
      <c r="A25" t="inlineStr">
        <is>
          <t>A 7772-2022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46297</v>
      </c>
      <c r="F25" t="inlineStr">
        <is>
          <t>VÄSTRA GÖTALANDS LÄN</t>
        </is>
      </c>
      <c r="G25" t="inlineStr">
        <is>
          <t>TÖREBODA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Revlummer</t>
        </is>
      </c>
      <c r="W25">
        <f>HYPERLINK("https://klasma.github.io/Logging_1473/artfynd/A 7772-2022 artfynd.xlsx", "A 7772-2022")</f>
        <v/>
      </c>
      <c r="X25">
        <f>HYPERLINK("https://klasma.github.io/Logging_1473/kartor/A 7772-2022 karta.png", "A 7772-2022")</f>
        <v/>
      </c>
      <c r="Y25">
        <f>HYPERLINK("https://klasma.github.io/Logging_1473/kartor_geotiff/A 7772-2022 georefererad karta.tif", "A 7772-2022")</f>
        <v/>
      </c>
      <c r="AA25">
        <f>HYPERLINK("https://klasma.github.io/Logging_1473/klagomål/A 7772-2022 FSC-klagomål.docx", "A 7772-2022")</f>
        <v/>
      </c>
      <c r="AB25">
        <f>HYPERLINK("https://klasma.github.io/Logging_1473/klagomålsmail/A 7772-2022 FSC-klagomål mail.docx", "A 7772-2022")</f>
        <v/>
      </c>
      <c r="AC25">
        <f>HYPERLINK("https://klasma.github.io/Logging_1473/tillsyn/A 7772-2022 tillsynsbegäran.docx", "A 7772-2022")</f>
        <v/>
      </c>
      <c r="AD25">
        <f>HYPERLINK("https://klasma.github.io/Logging_1473/tillsynsmail/A 7772-2022 tillsynsbegäran mail.docx", "A 7772-2022")</f>
        <v/>
      </c>
    </row>
    <row r="26" ht="15" customHeight="1">
      <c r="A26" t="inlineStr">
        <is>
          <t>A 14755-2025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46297</v>
      </c>
      <c r="F26" t="inlineStr">
        <is>
          <t>VÄSTRA GÖTALANDS LÄN</t>
        </is>
      </c>
      <c r="G26" t="inlineStr">
        <is>
          <t>TÖREBODA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Mattlummer</t>
        </is>
      </c>
      <c r="W26">
        <f>HYPERLINK("https://klasma.github.io/Logging_1473/artfynd/A 14755-2025 artfynd.xlsx", "A 14755-2025")</f>
        <v/>
      </c>
      <c r="X26">
        <f>HYPERLINK("https://klasma.github.io/Logging_1473/kartor/A 14755-2025 karta.png", "A 14755-2025")</f>
        <v/>
      </c>
      <c r="Y26">
        <f>HYPERLINK("https://klasma.github.io/Logging_1473/kartor_geotiff/A 14755-2025 georefererad karta.tif", "A 14755-2025")</f>
        <v/>
      </c>
      <c r="AA26">
        <f>HYPERLINK("https://klasma.github.io/Logging_1473/klagomål/A 14755-2025 FSC-klagomål.docx", "A 14755-2025")</f>
        <v/>
      </c>
      <c r="AB26">
        <f>HYPERLINK("https://klasma.github.io/Logging_1473/klagomålsmail/A 14755-2025 FSC-klagomål mail.docx", "A 14755-2025")</f>
        <v/>
      </c>
      <c r="AC26">
        <f>HYPERLINK("https://klasma.github.io/Logging_1473/tillsyn/A 14755-2025 tillsynsbegäran.docx", "A 14755-2025")</f>
        <v/>
      </c>
      <c r="AD26">
        <f>HYPERLINK("https://klasma.github.io/Logging_1473/tillsynsmail/A 14755-2025 tillsynsbegäran mail.docx", "A 14755-2025")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46297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46297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46297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46297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46297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46297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46297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46297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46297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46297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46297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46297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46297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46297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46297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46297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46297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46297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46297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46297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46297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46297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46297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46297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46297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46297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46297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46297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46297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46297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46297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46297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46297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46297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46297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46297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46297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46297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46297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46297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46297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46297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46297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46297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46297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46297</v>
      </c>
      <c r="F73" t="inlineStr">
        <is>
          <t>VÄSTRA GÖTALANDS LÄN</t>
        </is>
      </c>
      <c r="G73" t="inlineStr">
        <is>
          <t>TÖREBODA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46297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46297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46297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12328-2025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45730</v>
      </c>
      <c r="E77" s="1" t="n">
        <v>46297</v>
      </c>
      <c r="F77" t="inlineStr">
        <is>
          <t>VÄSTRA GÖTALANDS LÄN</t>
        </is>
      </c>
      <c r="G77" t="inlineStr">
        <is>
          <t>TÖREBODA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46297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46297</v>
      </c>
      <c r="F79" t="inlineStr">
        <is>
          <t>VÄSTRA GÖTALANDS LÄN</t>
        </is>
      </c>
      <c r="G79" t="inlineStr">
        <is>
          <t>TÖREBODA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46297</v>
      </c>
      <c r="F80" t="inlineStr">
        <is>
          <t>VÄSTRA GÖTALANDS LÄN</t>
        </is>
      </c>
      <c r="G80" t="inlineStr">
        <is>
          <t>TÖREBODA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46297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46297</v>
      </c>
      <c r="F82" t="inlineStr">
        <is>
          <t>VÄSTRA GÖTALANDS LÄN</t>
        </is>
      </c>
      <c r="G82" t="inlineStr">
        <is>
          <t>TÖREBODA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46297</v>
      </c>
      <c r="F83" t="inlineStr">
        <is>
          <t>VÄSTRA GÖTALANDS LÄN</t>
        </is>
      </c>
      <c r="G83" t="inlineStr">
        <is>
          <t>TÖREBODA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46297</v>
      </c>
      <c r="F84" t="inlineStr">
        <is>
          <t>VÄSTRA GÖTALANDS LÄN</t>
        </is>
      </c>
      <c r="G84" t="inlineStr">
        <is>
          <t>TÖREBODA</t>
        </is>
      </c>
      <c r="H84" t="inlineStr">
        <is>
          <t>Kyrkan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46297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45493</v>
      </c>
      <c r="E86" s="1" t="n">
        <v>46297</v>
      </c>
      <c r="F86" t="inlineStr">
        <is>
          <t>VÄSTRA GÖTALANDS LÄN</t>
        </is>
      </c>
      <c r="G86" t="inlineStr">
        <is>
          <t>TÖREBODA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46297</v>
      </c>
      <c r="F87" t="inlineStr">
        <is>
          <t>VÄSTRA GÖTALANDS LÄN</t>
        </is>
      </c>
      <c r="G87" t="inlineStr">
        <is>
          <t>TÖREBODA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46297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46297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46297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45341</v>
      </c>
      <c r="E91" s="1" t="n">
        <v>46297</v>
      </c>
      <c r="F91" t="inlineStr">
        <is>
          <t>VÄSTRA GÖTALANDS LÄN</t>
        </is>
      </c>
      <c r="G91" t="inlineStr">
        <is>
          <t>TÖREBODA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45888</v>
      </c>
      <c r="E92" s="1" t="n">
        <v>46297</v>
      </c>
      <c r="F92" t="inlineStr">
        <is>
          <t>VÄSTRA GÖTALANDS LÄN</t>
        </is>
      </c>
      <c r="G92" t="inlineStr">
        <is>
          <t>TÖREBODA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46297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46297</v>
      </c>
      <c r="F94" t="inlineStr">
        <is>
          <t>VÄSTRA GÖTALANDS LÄN</t>
        </is>
      </c>
      <c r="G94" t="inlineStr">
        <is>
          <t>TÖREBODA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46297</v>
      </c>
      <c r="F95" t="inlineStr">
        <is>
          <t>VÄSTRA GÖTALANDS LÄN</t>
        </is>
      </c>
      <c r="G95" t="inlineStr">
        <is>
          <t>TÖREBODA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45414</v>
      </c>
      <c r="E96" s="1" t="n">
        <v>46297</v>
      </c>
      <c r="F96" t="inlineStr">
        <is>
          <t>VÄSTRA GÖTALANDS LÄN</t>
        </is>
      </c>
      <c r="G96" t="inlineStr">
        <is>
          <t>TÖREBODA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46297</v>
      </c>
      <c r="F97" t="inlineStr">
        <is>
          <t>VÄSTRA GÖTALANDS LÄN</t>
        </is>
      </c>
      <c r="G97" t="inlineStr">
        <is>
          <t>TÖREBODA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6970-2026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46297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44907</v>
      </c>
      <c r="E99" s="1" t="n">
        <v>46297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46297</v>
      </c>
      <c r="F100" t="inlineStr">
        <is>
          <t>VÄSTRA GÖTALANDS LÄN</t>
        </is>
      </c>
      <c r="G100" t="inlineStr">
        <is>
          <t>TÖREBODA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45684</v>
      </c>
      <c r="E101" s="1" t="n">
        <v>46297</v>
      </c>
      <c r="F101" t="inlineStr">
        <is>
          <t>VÄSTRA GÖTALANDS LÄN</t>
        </is>
      </c>
      <c r="G101" t="inlineStr">
        <is>
          <t>TÖREBODA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46297</v>
      </c>
      <c r="F102" t="inlineStr">
        <is>
          <t>VÄSTRA GÖTALANDS LÄN</t>
        </is>
      </c>
      <c r="G102" t="inlineStr">
        <is>
          <t>TÖREBODA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46297</v>
      </c>
      <c r="F103" t="inlineStr">
        <is>
          <t>VÄSTRA GÖTALANDS LÄN</t>
        </is>
      </c>
      <c r="G103" t="inlineStr">
        <is>
          <t>TÖREBODA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46297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46297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44988</v>
      </c>
      <c r="E106" s="1" t="n">
        <v>46297</v>
      </c>
      <c r="F106" t="inlineStr">
        <is>
          <t>VÄSTRA GÖTALANDS LÄN</t>
        </is>
      </c>
      <c r="G106" t="inlineStr">
        <is>
          <t>TÖREBODA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46297</v>
      </c>
      <c r="F107" t="inlineStr">
        <is>
          <t>VÄSTRA GÖTALANDS LÄN</t>
        </is>
      </c>
      <c r="G107" t="inlineStr">
        <is>
          <t>TÖREBODA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46297</v>
      </c>
      <c r="F108" t="inlineStr">
        <is>
          <t>VÄSTRA GÖTALANDS LÄN</t>
        </is>
      </c>
      <c r="G108" t="inlineStr">
        <is>
          <t>TÖREBODA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45924</v>
      </c>
      <c r="E109" s="1" t="n">
        <v>46297</v>
      </c>
      <c r="F109" t="inlineStr">
        <is>
          <t>VÄSTRA GÖTALANDS LÄN</t>
        </is>
      </c>
      <c r="G109" t="inlineStr">
        <is>
          <t>TÖREBODA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46297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46297</v>
      </c>
      <c r="F111" t="inlineStr">
        <is>
          <t>VÄSTRA GÖTALANDS LÄN</t>
        </is>
      </c>
      <c r="G111" t="inlineStr">
        <is>
          <t>TÖREBODA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46297</v>
      </c>
      <c r="F112" t="inlineStr">
        <is>
          <t>VÄSTRA GÖTALANDS LÄN</t>
        </is>
      </c>
      <c r="G112" t="inlineStr">
        <is>
          <t>TÖREBODA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45127</v>
      </c>
      <c r="E113" s="1" t="n">
        <v>46297</v>
      </c>
      <c r="F113" t="inlineStr">
        <is>
          <t>VÄSTRA GÖTALANDS LÄN</t>
        </is>
      </c>
      <c r="G113" t="inlineStr">
        <is>
          <t>TÖREBODA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46297</v>
      </c>
      <c r="F114" t="inlineStr">
        <is>
          <t>VÄSTRA GÖTALANDS LÄN</t>
        </is>
      </c>
      <c r="G114" t="inlineStr">
        <is>
          <t>TÖREBODA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46297</v>
      </c>
      <c r="F115" t="inlineStr">
        <is>
          <t>VÄSTRA GÖTALANDS LÄN</t>
        </is>
      </c>
      <c r="G115" t="inlineStr">
        <is>
          <t>TÖREBODA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46297</v>
      </c>
      <c r="F116" t="inlineStr">
        <is>
          <t>VÄSTRA GÖTALANDS LÄN</t>
        </is>
      </c>
      <c r="G116" t="inlineStr">
        <is>
          <t>TÖREBODA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46297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46297</v>
      </c>
      <c r="F118" t="inlineStr">
        <is>
          <t>VÄSTRA GÖTALANDS LÄN</t>
        </is>
      </c>
      <c r="G118" t="inlineStr">
        <is>
          <t>TÖREBODA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46297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46297</v>
      </c>
      <c r="F120" t="inlineStr">
        <is>
          <t>VÄSTRA GÖTALANDS LÄN</t>
        </is>
      </c>
      <c r="G120" t="inlineStr">
        <is>
          <t>TÖREBODA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46297</v>
      </c>
      <c r="F121" t="inlineStr">
        <is>
          <t>VÄSTRA GÖTALANDS LÄN</t>
        </is>
      </c>
      <c r="G121" t="inlineStr">
        <is>
          <t>TÖREBODA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15086-2024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45399</v>
      </c>
      <c r="E122" s="1" t="n">
        <v>46297</v>
      </c>
      <c r="F122" t="inlineStr">
        <is>
          <t>VÄSTRA GÖTALANDS LÄN</t>
        </is>
      </c>
      <c r="G122" t="inlineStr">
        <is>
          <t>TÖREBODA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46297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44698</v>
      </c>
      <c r="E124" s="1" t="n">
        <v>46297</v>
      </c>
      <c r="F124" t="inlineStr">
        <is>
          <t>VÄSTRA GÖTALANDS LÄN</t>
        </is>
      </c>
      <c r="G124" t="inlineStr">
        <is>
          <t>TÖREBODA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44923</v>
      </c>
      <c r="E125" s="1" t="n">
        <v>46297</v>
      </c>
      <c r="F125" t="inlineStr">
        <is>
          <t>VÄSTRA GÖTALANDS LÄN</t>
        </is>
      </c>
      <c r="G125" t="inlineStr">
        <is>
          <t>TÖREBODA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46297</v>
      </c>
      <c r="F126" t="inlineStr">
        <is>
          <t>VÄSTRA GÖTALANDS LÄN</t>
        </is>
      </c>
      <c r="G126" t="inlineStr">
        <is>
          <t>TÖREBODA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46297</v>
      </c>
      <c r="F127" t="inlineStr">
        <is>
          <t>VÄSTRA GÖTALANDS LÄN</t>
        </is>
      </c>
      <c r="G127" t="inlineStr">
        <is>
          <t>TÖREBODA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46297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26941-2025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45811</v>
      </c>
      <c r="E129" s="1" t="n">
        <v>46297</v>
      </c>
      <c r="F129" t="inlineStr">
        <is>
          <t>VÄSTRA GÖTALANDS LÄN</t>
        </is>
      </c>
      <c r="G129" t="inlineStr">
        <is>
          <t>TÖREBODA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46297</v>
      </c>
      <c r="F130" t="inlineStr">
        <is>
          <t>VÄSTRA GÖTALANDS LÄN</t>
        </is>
      </c>
      <c r="G130" t="inlineStr">
        <is>
          <t>TÖREBODA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46297</v>
      </c>
      <c r="F131" t="inlineStr">
        <is>
          <t>VÄSTRA GÖTALANDS LÄN</t>
        </is>
      </c>
      <c r="G131" t="inlineStr">
        <is>
          <t>TÖREBODA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15567-2026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46106</v>
      </c>
      <c r="E132" s="1" t="n">
        <v>46297</v>
      </c>
      <c r="F132" t="inlineStr">
        <is>
          <t>VÄSTRA GÖTALANDS LÄN</t>
        </is>
      </c>
      <c r="G132" t="inlineStr">
        <is>
          <t>TÖREBODA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46297</v>
      </c>
      <c r="F133" t="inlineStr">
        <is>
          <t>VÄSTRA GÖTALANDS LÄN</t>
        </is>
      </c>
      <c r="G133" t="inlineStr">
        <is>
          <t>TÖREBODA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46297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46297</v>
      </c>
      <c r="F135" t="inlineStr">
        <is>
          <t>VÄSTRA GÖTALANDS LÄN</t>
        </is>
      </c>
      <c r="G135" t="inlineStr">
        <is>
          <t>TÖREBODA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55593-2025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45971</v>
      </c>
      <c r="E136" s="1" t="n">
        <v>46297</v>
      </c>
      <c r="F136" t="inlineStr">
        <is>
          <t>VÄSTRA GÖTALANDS LÄN</t>
        </is>
      </c>
      <c r="G136" t="inlineStr">
        <is>
          <t>TÖREBODA</t>
        </is>
      </c>
      <c r="I136" t="n">
        <v>20.8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45972</v>
      </c>
      <c r="E137" s="1" t="n">
        <v>46297</v>
      </c>
      <c r="F137" t="inlineStr">
        <is>
          <t>VÄSTRA GÖTALANDS LÄN</t>
        </is>
      </c>
      <c r="G137" t="inlineStr">
        <is>
          <t>TÖREBODA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46297</v>
      </c>
      <c r="F138" t="inlineStr">
        <is>
          <t>VÄSTRA GÖTALANDS LÄN</t>
        </is>
      </c>
      <c r="G138" t="inlineStr">
        <is>
          <t>TÖREBODA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46297</v>
      </c>
      <c r="F139" t="inlineStr">
        <is>
          <t>VÄSTRA GÖTALANDS LÄN</t>
        </is>
      </c>
      <c r="G139" t="inlineStr">
        <is>
          <t>TÖREBODA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55766-2025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45972</v>
      </c>
      <c r="E140" s="1" t="n">
        <v>46297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46297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46122</v>
      </c>
      <c r="E142" s="1" t="n">
        <v>46297</v>
      </c>
      <c r="F142" t="inlineStr">
        <is>
          <t>VÄSTRA GÖTALANDS LÄN</t>
        </is>
      </c>
      <c r="G142" t="inlineStr">
        <is>
          <t>TÖREBODA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46297</v>
      </c>
      <c r="F143" t="inlineStr">
        <is>
          <t>VÄSTRA GÖTALANDS LÄN</t>
        </is>
      </c>
      <c r="G143" t="inlineStr">
        <is>
          <t>TÖREBODA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46297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46134</v>
      </c>
      <c r="E145" s="1" t="n">
        <v>46297</v>
      </c>
      <c r="F145" t="inlineStr">
        <is>
          <t>VÄSTRA GÖTALANDS LÄN</t>
        </is>
      </c>
      <c r="G145" t="inlineStr">
        <is>
          <t>TÖREBODA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45077</v>
      </c>
      <c r="E146" s="1" t="n">
        <v>46297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19706-2026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46134</v>
      </c>
      <c r="E147" s="1" t="n">
        <v>46297</v>
      </c>
      <c r="F147" t="inlineStr">
        <is>
          <t>VÄSTRA GÖTALANDS LÄN</t>
        </is>
      </c>
      <c r="G147" t="inlineStr">
        <is>
          <t>TÖREBODA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46297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45750</v>
      </c>
      <c r="E149" s="1" t="n">
        <v>46297</v>
      </c>
      <c r="F149" t="inlineStr">
        <is>
          <t>VÄSTRA GÖTALANDS LÄN</t>
        </is>
      </c>
      <c r="G149" t="inlineStr">
        <is>
          <t>TÖREBODA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45002</v>
      </c>
      <c r="E150" s="1" t="n">
        <v>46297</v>
      </c>
      <c r="F150" t="inlineStr">
        <is>
          <t>VÄSTRA GÖTALANDS LÄN</t>
        </is>
      </c>
      <c r="G150" t="inlineStr">
        <is>
          <t>TÖREBODA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44987</v>
      </c>
      <c r="E151" s="1" t="n">
        <v>46297</v>
      </c>
      <c r="F151" t="inlineStr">
        <is>
          <t>VÄSTRA GÖTALANDS LÄN</t>
        </is>
      </c>
      <c r="G151" t="inlineStr">
        <is>
          <t>TÖREBODA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45627</v>
      </c>
      <c r="E152" s="1" t="n">
        <v>46297</v>
      </c>
      <c r="F152" t="inlineStr">
        <is>
          <t>VÄSTRA GÖTALANDS LÄN</t>
        </is>
      </c>
      <c r="G152" t="inlineStr">
        <is>
          <t>TÖREBODA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46297</v>
      </c>
      <c r="F153" t="inlineStr">
        <is>
          <t>VÄSTRA GÖTALANDS LÄN</t>
        </is>
      </c>
      <c r="G153" t="inlineStr">
        <is>
          <t>TÖREBODA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46297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45699</v>
      </c>
      <c r="E155" s="1" t="n">
        <v>46297</v>
      </c>
      <c r="F155" t="inlineStr">
        <is>
          <t>VÄSTRA GÖTALANDS LÄN</t>
        </is>
      </c>
      <c r="G155" t="inlineStr">
        <is>
          <t>TÖREBODA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32463-2022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44782</v>
      </c>
      <c r="E156" s="1" t="n">
        <v>46297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43561-2024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45569</v>
      </c>
      <c r="E157" s="1" t="n">
        <v>46297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46297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46297</v>
      </c>
      <c r="F159" t="inlineStr">
        <is>
          <t>VÄSTRA GÖTALANDS LÄN</t>
        </is>
      </c>
      <c r="G159" t="inlineStr">
        <is>
          <t>TÖREBODA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46297</v>
      </c>
      <c r="F160" t="inlineStr">
        <is>
          <t>VÄSTRA GÖTALANDS LÄN</t>
        </is>
      </c>
      <c r="G160" t="inlineStr">
        <is>
          <t>TÖREBODA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46297</v>
      </c>
      <c r="F161" t="inlineStr">
        <is>
          <t>VÄSTRA GÖTALANDS LÄN</t>
        </is>
      </c>
      <c r="G161" t="inlineStr">
        <is>
          <t>TÖREBODA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46297</v>
      </c>
      <c r="F162" t="inlineStr">
        <is>
          <t>VÄSTRA GÖTALANDS LÄN</t>
        </is>
      </c>
      <c r="G162" t="inlineStr">
        <is>
          <t>TÖREBODA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46297</v>
      </c>
      <c r="F163" t="inlineStr">
        <is>
          <t>VÄSTRA GÖTALANDS LÄN</t>
        </is>
      </c>
      <c r="G163" t="inlineStr">
        <is>
          <t>TÖREBODA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46297</v>
      </c>
      <c r="F164" t="inlineStr">
        <is>
          <t>VÄSTRA GÖTALANDS LÄN</t>
        </is>
      </c>
      <c r="G164" t="inlineStr">
        <is>
          <t>TÖREBODA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46297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46297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Övriga statliga verk och myndigheter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46297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Övriga statliga verk och myndigheter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45841</v>
      </c>
      <c r="E168" s="1" t="n">
        <v>46297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Övriga statliga verk och myndigheter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46297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Övriga statliga verk och myndigheter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46297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46297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Övriga statliga verk och myndigheter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45764</v>
      </c>
      <c r="E172" s="1" t="n">
        <v>46297</v>
      </c>
      <c r="F172" t="inlineStr">
        <is>
          <t>VÄSTRA GÖTALANDS LÄN</t>
        </is>
      </c>
      <c r="G172" t="inlineStr">
        <is>
          <t>TÖREBODA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46297</v>
      </c>
      <c r="F173" t="inlineStr">
        <is>
          <t>VÄSTRA GÖTALANDS LÄN</t>
        </is>
      </c>
      <c r="G173" t="inlineStr">
        <is>
          <t>TÖREBODA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45741</v>
      </c>
      <c r="E174" s="1" t="n">
        <v>46297</v>
      </c>
      <c r="F174" t="inlineStr">
        <is>
          <t>VÄSTRA GÖTALANDS LÄN</t>
        </is>
      </c>
      <c r="G174" t="inlineStr">
        <is>
          <t>TÖREBODA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46297</v>
      </c>
      <c r="F175" t="inlineStr">
        <is>
          <t>VÄSTRA GÖTALANDS LÄN</t>
        </is>
      </c>
      <c r="G175" t="inlineStr">
        <is>
          <t>TÖREBODA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46297</v>
      </c>
      <c r="F176" t="inlineStr">
        <is>
          <t>VÄSTRA GÖTALANDS LÄN</t>
        </is>
      </c>
      <c r="G176" t="inlineStr">
        <is>
          <t>TÖREBODA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54621-2021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44473</v>
      </c>
      <c r="E177" s="1" t="n">
        <v>46297</v>
      </c>
      <c r="F177" t="inlineStr">
        <is>
          <t>VÄSTRA GÖTALANDS LÄN</t>
        </is>
      </c>
      <c r="G177" t="inlineStr">
        <is>
          <t>TÖREBODA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46297</v>
      </c>
      <c r="F178" t="inlineStr">
        <is>
          <t>VÄSTRA GÖTALANDS LÄN</t>
        </is>
      </c>
      <c r="G178" t="inlineStr">
        <is>
          <t>TÖREBODA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45425</v>
      </c>
      <c r="E179" s="1" t="n">
        <v>46297</v>
      </c>
      <c r="F179" t="inlineStr">
        <is>
          <t>VÄSTRA GÖTALANDS LÄN</t>
        </is>
      </c>
      <c r="G179" t="inlineStr">
        <is>
          <t>TÖREBODA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46297</v>
      </c>
      <c r="F180" t="inlineStr">
        <is>
          <t>VÄSTRA GÖTALANDS LÄN</t>
        </is>
      </c>
      <c r="G180" t="inlineStr">
        <is>
          <t>TÖREBODA</t>
        </is>
      </c>
      <c r="I180" t="n">
        <v>49.4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46297</v>
      </c>
      <c r="F181" t="inlineStr">
        <is>
          <t>VÄSTRA GÖTALANDS LÄN</t>
        </is>
      </c>
      <c r="G181" t="inlineStr">
        <is>
          <t>TÖREBODA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46297</v>
      </c>
      <c r="F182" t="inlineStr">
        <is>
          <t>VÄSTRA GÖTALANDS LÄN</t>
        </is>
      </c>
      <c r="G182" t="inlineStr">
        <is>
          <t>TÖREBODA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46297</v>
      </c>
      <c r="F183" t="inlineStr">
        <is>
          <t>VÄSTRA GÖTALANDS LÄN</t>
        </is>
      </c>
      <c r="G183" t="inlineStr">
        <is>
          <t>TÖREBODA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46297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Övriga statliga verk och myndigheter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46297</v>
      </c>
      <c r="F185" t="inlineStr">
        <is>
          <t>VÄSTRA GÖTALANDS LÄN</t>
        </is>
      </c>
      <c r="G185" t="inlineStr">
        <is>
          <t>TÖREBODA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46297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Övriga statliga verk och myndigheter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46152</v>
      </c>
      <c r="E187" s="1" t="n">
        <v>46297</v>
      </c>
      <c r="F187" t="inlineStr">
        <is>
          <t>VÄSTRA GÖTALANDS LÄN</t>
        </is>
      </c>
      <c r="G187" t="inlineStr">
        <is>
          <t>TÖREBODA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46152</v>
      </c>
      <c r="E188" s="1" t="n">
        <v>46297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46152</v>
      </c>
      <c r="E189" s="1" t="n">
        <v>46297</v>
      </c>
      <c r="F189" t="inlineStr">
        <is>
          <t>VÄSTRA GÖTALANDS LÄN</t>
        </is>
      </c>
      <c r="G189" t="inlineStr">
        <is>
          <t>TÖREBODA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46152</v>
      </c>
      <c r="E190" s="1" t="n">
        <v>46297</v>
      </c>
      <c r="F190" t="inlineStr">
        <is>
          <t>VÄSTRA GÖTALANDS LÄN</t>
        </is>
      </c>
      <c r="G190" t="inlineStr">
        <is>
          <t>TÖREBODA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46152</v>
      </c>
      <c r="E191" s="1" t="n">
        <v>46297</v>
      </c>
      <c r="F191" t="inlineStr">
        <is>
          <t>VÄSTRA GÖTALANDS LÄN</t>
        </is>
      </c>
      <c r="G191" t="inlineStr">
        <is>
          <t>TÖREBODA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51626-2023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46297</v>
      </c>
      <c r="F192" t="inlineStr">
        <is>
          <t>VÄSTRA GÖTALANDS LÄN</t>
        </is>
      </c>
      <c r="G192" t="inlineStr">
        <is>
          <t>TÖREBODA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46297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46152</v>
      </c>
      <c r="E194" s="1" t="n">
        <v>46297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46152</v>
      </c>
      <c r="E195" s="1" t="n">
        <v>46297</v>
      </c>
      <c r="F195" t="inlineStr">
        <is>
          <t>VÄSTRA GÖTALANDS LÄN</t>
        </is>
      </c>
      <c r="G195" t="inlineStr">
        <is>
          <t>TÖREBODA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46152</v>
      </c>
      <c r="E196" s="1" t="n">
        <v>46297</v>
      </c>
      <c r="F196" t="inlineStr">
        <is>
          <t>VÄSTRA GÖTALANDS LÄN</t>
        </is>
      </c>
      <c r="G196" t="inlineStr">
        <is>
          <t>TÖREBODA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45450</v>
      </c>
      <c r="E197" s="1" t="n">
        <v>46297</v>
      </c>
      <c r="F197" t="inlineStr">
        <is>
          <t>VÄSTRA GÖTALANDS LÄN</t>
        </is>
      </c>
      <c r="G197" t="inlineStr">
        <is>
          <t>TÖREBODA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46297</v>
      </c>
      <c r="F198" t="inlineStr">
        <is>
          <t>VÄSTRA GÖTALANDS LÄN</t>
        </is>
      </c>
      <c r="G198" t="inlineStr">
        <is>
          <t>TÖREBODA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46297</v>
      </c>
      <c r="F199" t="inlineStr">
        <is>
          <t>VÄSTRA GÖTALANDS LÄN</t>
        </is>
      </c>
      <c r="G199" t="inlineStr">
        <is>
          <t>TÖREBODA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46297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45309</v>
      </c>
      <c r="E201" s="1" t="n">
        <v>46297</v>
      </c>
      <c r="F201" t="inlineStr">
        <is>
          <t>VÄSTRA GÖTALANDS LÄN</t>
        </is>
      </c>
      <c r="G201" t="inlineStr">
        <is>
          <t>TÖREBODA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46297</v>
      </c>
      <c r="F202" t="inlineStr">
        <is>
          <t>VÄSTRA GÖTALANDS LÄN</t>
        </is>
      </c>
      <c r="G202" t="inlineStr">
        <is>
          <t>TÖREBODA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45145</v>
      </c>
      <c r="E203" s="1" t="n">
        <v>46297</v>
      </c>
      <c r="F203" t="inlineStr">
        <is>
          <t>VÄSTRA GÖTALANDS LÄN</t>
        </is>
      </c>
      <c r="G203" t="inlineStr">
        <is>
          <t>TÖREBODA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46168</v>
      </c>
      <c r="E204" s="1" t="n">
        <v>46297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46297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45133</v>
      </c>
      <c r="E206" s="1" t="n">
        <v>46297</v>
      </c>
      <c r="F206" t="inlineStr">
        <is>
          <t>VÄSTRA GÖTALANDS LÄN</t>
        </is>
      </c>
      <c r="G206" t="inlineStr">
        <is>
          <t>TÖREBODA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46297</v>
      </c>
      <c r="F207" t="inlineStr">
        <is>
          <t>VÄSTRA GÖTALANDS LÄN</t>
        </is>
      </c>
      <c r="G207" t="inlineStr">
        <is>
          <t>TÖREBODA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46297</v>
      </c>
      <c r="F208" t="inlineStr">
        <is>
          <t>VÄSTRA GÖTALANDS LÄN</t>
        </is>
      </c>
      <c r="G208" t="inlineStr">
        <is>
          <t>TÖREBODA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45460</v>
      </c>
      <c r="E209" s="1" t="n">
        <v>46297</v>
      </c>
      <c r="F209" t="inlineStr">
        <is>
          <t>VÄSTRA GÖTALANDS LÄN</t>
        </is>
      </c>
      <c r="G209" t="inlineStr">
        <is>
          <t>TÖREBODA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46297</v>
      </c>
      <c r="F210" t="inlineStr">
        <is>
          <t>VÄSTRA GÖTALANDS LÄN</t>
        </is>
      </c>
      <c r="G210" t="inlineStr">
        <is>
          <t>TÖREBODA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45556</v>
      </c>
      <c r="E211" s="1" t="n">
        <v>46297</v>
      </c>
      <c r="F211" t="inlineStr">
        <is>
          <t>VÄSTRA GÖTALANDS LÄN</t>
        </is>
      </c>
      <c r="G211" t="inlineStr">
        <is>
          <t>TÖREBODA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45096</v>
      </c>
      <c r="E212" s="1" t="n">
        <v>46297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46297</v>
      </c>
      <c r="F213" t="inlineStr">
        <is>
          <t>VÄSTRA GÖTALANDS LÄN</t>
        </is>
      </c>
      <c r="G213" t="inlineStr">
        <is>
          <t>TÖREBODA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46297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46297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Övriga statliga verk och myndigheter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45552</v>
      </c>
      <c r="E216" s="1" t="n">
        <v>46297</v>
      </c>
      <c r="F216" t="inlineStr">
        <is>
          <t>VÄSTRA GÖTALANDS LÄN</t>
        </is>
      </c>
      <c r="G216" t="inlineStr">
        <is>
          <t>TÖREBODA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45627</v>
      </c>
      <c r="E217" s="1" t="n">
        <v>46297</v>
      </c>
      <c r="F217" t="inlineStr">
        <is>
          <t>VÄSTRA GÖTALANDS LÄN</t>
        </is>
      </c>
      <c r="G217" t="inlineStr">
        <is>
          <t>TÖREBODA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45555</v>
      </c>
      <c r="E218" s="1" t="n">
        <v>46297</v>
      </c>
      <c r="F218" t="inlineStr">
        <is>
          <t>VÄSTRA GÖTALANDS LÄN</t>
        </is>
      </c>
      <c r="G218" t="inlineStr">
        <is>
          <t>TÖREBODA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46297</v>
      </c>
      <c r="F219" t="inlineStr">
        <is>
          <t>VÄSTRA GÖTALANDS LÄN</t>
        </is>
      </c>
      <c r="G219" t="inlineStr">
        <is>
          <t>TÖREBODA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44664</v>
      </c>
      <c r="E220" s="1" t="n">
        <v>46297</v>
      </c>
      <c r="F220" t="inlineStr">
        <is>
          <t>VÄSTRA GÖTALANDS LÄN</t>
        </is>
      </c>
      <c r="G220" t="inlineStr">
        <is>
          <t>TÖREBODA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46297</v>
      </c>
      <c r="F221" t="inlineStr">
        <is>
          <t>VÄSTRA GÖTALANDS LÄN</t>
        </is>
      </c>
      <c r="G221" t="inlineStr">
        <is>
          <t>TÖREBODA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45328</v>
      </c>
      <c r="E222" s="1" t="n">
        <v>46297</v>
      </c>
      <c r="F222" t="inlineStr">
        <is>
          <t>VÄSTRA GÖTALANDS LÄN</t>
        </is>
      </c>
      <c r="G222" t="inlineStr">
        <is>
          <t>TÖREBODA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46297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Övriga Aktiebolag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46297</v>
      </c>
      <c r="F224" t="inlineStr">
        <is>
          <t>VÄSTRA GÖTALANDS LÄN</t>
        </is>
      </c>
      <c r="G224" t="inlineStr">
        <is>
          <t>TÖREBODA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45236</v>
      </c>
      <c r="E225" s="1" t="n">
        <v>46297</v>
      </c>
      <c r="F225" t="inlineStr">
        <is>
          <t>VÄSTRA GÖTALANDS LÄN</t>
        </is>
      </c>
      <c r="G225" t="inlineStr">
        <is>
          <t>TÖREBODA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46297</v>
      </c>
      <c r="F226" t="inlineStr">
        <is>
          <t>VÄSTRA GÖTALANDS LÄN</t>
        </is>
      </c>
      <c r="G226" t="inlineStr">
        <is>
          <t>TÖREBODA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46297</v>
      </c>
      <c r="F227" t="inlineStr">
        <is>
          <t>VÄSTRA GÖTALANDS LÄN</t>
        </is>
      </c>
      <c r="G227" t="inlineStr">
        <is>
          <t>TÖREBODA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46297</v>
      </c>
      <c r="F228" t="inlineStr">
        <is>
          <t>VÄSTRA GÖTALANDS LÄN</t>
        </is>
      </c>
      <c r="G228" t="inlineStr">
        <is>
          <t>TÖREBODA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46297</v>
      </c>
      <c r="F229" t="inlineStr">
        <is>
          <t>VÄSTRA GÖTALANDS LÄN</t>
        </is>
      </c>
      <c r="G229" t="inlineStr">
        <is>
          <t>TÖREBODA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46297</v>
      </c>
      <c r="F230" t="inlineStr">
        <is>
          <t>VÄSTRA GÖTALANDS LÄN</t>
        </is>
      </c>
      <c r="G230" t="inlineStr">
        <is>
          <t>TÖREBODA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46297</v>
      </c>
      <c r="F231" t="inlineStr">
        <is>
          <t>VÄSTRA GÖTALANDS LÄN</t>
        </is>
      </c>
      <c r="G231" t="inlineStr">
        <is>
          <t>TÖREBODA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46297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46297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46297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46297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44749</v>
      </c>
      <c r="E236" s="1" t="n">
        <v>46297</v>
      </c>
      <c r="F236" t="inlineStr">
        <is>
          <t>VÄSTRA GÖTALANDS LÄN</t>
        </is>
      </c>
      <c r="G236" t="inlineStr">
        <is>
          <t>TÖREBODA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28196-2022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44746</v>
      </c>
      <c r="E237" s="1" t="n">
        <v>46297</v>
      </c>
      <c r="F237" t="inlineStr">
        <is>
          <t>VÄSTRA GÖTALANDS LÄN</t>
        </is>
      </c>
      <c r="G237" t="inlineStr">
        <is>
          <t>TÖREBODA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45530</v>
      </c>
      <c r="E238" s="1" t="n">
        <v>46297</v>
      </c>
      <c r="F238" t="inlineStr">
        <is>
          <t>VÄSTRA GÖTALANDS LÄN</t>
        </is>
      </c>
      <c r="G238" t="inlineStr">
        <is>
          <t>TÖREBODA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46297</v>
      </c>
      <c r="F239" t="inlineStr">
        <is>
          <t>VÄSTRA GÖTALANDS LÄN</t>
        </is>
      </c>
      <c r="G239" t="inlineStr">
        <is>
          <t>TÖREBODA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22861-2024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46297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Övriga statliga verk och myndigheter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46297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Sveaskog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46297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46268</v>
      </c>
      <c r="E243" s="1" t="n">
        <v>46297</v>
      </c>
      <c r="F243" t="inlineStr">
        <is>
          <t>VÄSTRA GÖTALANDS LÄN</t>
        </is>
      </c>
      <c r="G243" t="inlineStr">
        <is>
          <t>TÖREBODA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46268</v>
      </c>
      <c r="E244" s="1" t="n">
        <v>46297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46297</v>
      </c>
      <c r="F245" t="inlineStr">
        <is>
          <t>VÄSTRA GÖTALANDS LÄN</t>
        </is>
      </c>
      <c r="G245" t="inlineStr">
        <is>
          <t>TÖREBODA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46268</v>
      </c>
      <c r="E246" s="1" t="n">
        <v>46297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46268</v>
      </c>
      <c r="E247" s="1" t="n">
        <v>46297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45233</v>
      </c>
      <c r="E248" s="1" t="n">
        <v>46297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Övriga statliga verk och myndigheter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46297</v>
      </c>
      <c r="F249" t="inlineStr">
        <is>
          <t>VÄSTRA GÖTALANDS LÄN</t>
        </is>
      </c>
      <c r="G249" t="inlineStr">
        <is>
          <t>TÖREBODA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46297</v>
      </c>
      <c r="F250" t="inlineStr">
        <is>
          <t>VÄSTRA GÖTALANDS LÄN</t>
        </is>
      </c>
      <c r="G250" t="inlineStr">
        <is>
          <t>TÖREBODA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46297</v>
      </c>
      <c r="F251" t="inlineStr">
        <is>
          <t>VÄSTRA GÖTALANDS LÄN</t>
        </is>
      </c>
      <c r="G251" t="inlineStr">
        <is>
          <t>TÖREBODA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45651</v>
      </c>
      <c r="E252" s="1" t="n">
        <v>46297</v>
      </c>
      <c r="F252" t="inlineStr">
        <is>
          <t>VÄSTRA GÖTALANDS LÄN</t>
        </is>
      </c>
      <c r="G252" t="inlineStr">
        <is>
          <t>TÖREBODA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29739-2024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46297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44858</v>
      </c>
      <c r="E254" s="1" t="n">
        <v>46297</v>
      </c>
      <c r="F254" t="inlineStr">
        <is>
          <t>VÄSTRA GÖTALANDS LÄN</t>
        </is>
      </c>
      <c r="G254" t="inlineStr">
        <is>
          <t>TÖREBODA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46231</v>
      </c>
      <c r="E255" s="1" t="n">
        <v>46297</v>
      </c>
      <c r="F255" t="inlineStr">
        <is>
          <t>VÄSTRA GÖTALANDS LÄN</t>
        </is>
      </c>
      <c r="G255" t="inlineStr">
        <is>
          <t>TÖREBODA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46297</v>
      </c>
      <c r="F256" t="inlineStr">
        <is>
          <t>VÄSTRA GÖTALANDS LÄN</t>
        </is>
      </c>
      <c r="G256" t="inlineStr">
        <is>
          <t>TÖREBODA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45685</v>
      </c>
      <c r="E257" s="1" t="n">
        <v>46297</v>
      </c>
      <c r="F257" t="inlineStr">
        <is>
          <t>VÄSTRA GÖTALANDS LÄN</t>
        </is>
      </c>
      <c r="G257" t="inlineStr">
        <is>
          <t>TÖREBODA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45268</v>
      </c>
      <c r="E258" s="1" t="n">
        <v>46297</v>
      </c>
      <c r="F258" t="inlineStr">
        <is>
          <t>VÄSTRA GÖTALANDS LÄN</t>
        </is>
      </c>
      <c r="G258" t="inlineStr">
        <is>
          <t>TÖREBODA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37453-2026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46275</v>
      </c>
      <c r="E259" s="1" t="n">
        <v>46297</v>
      </c>
      <c r="F259" t="inlineStr">
        <is>
          <t>VÄSTRA GÖTALANDS LÄN</t>
        </is>
      </c>
      <c r="G259" t="inlineStr">
        <is>
          <t>TÖREBODA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44951</v>
      </c>
      <c r="E260" s="1" t="n">
        <v>46297</v>
      </c>
      <c r="F260" t="inlineStr">
        <is>
          <t>VÄSTRA GÖTALANDS LÄN</t>
        </is>
      </c>
      <c r="G260" t="inlineStr">
        <is>
          <t>TÖREBODA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44923</v>
      </c>
      <c r="E261" s="1" t="n">
        <v>46297</v>
      </c>
      <c r="F261" t="inlineStr">
        <is>
          <t>VÄSTRA GÖTALANDS LÄN</t>
        </is>
      </c>
      <c r="G261" t="inlineStr">
        <is>
          <t>TÖREBODA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45344</v>
      </c>
      <c r="E262" s="1" t="n">
        <v>46297</v>
      </c>
      <c r="F262" t="inlineStr">
        <is>
          <t>VÄSTRA GÖTALANDS LÄN</t>
        </is>
      </c>
      <c r="G262" t="inlineStr">
        <is>
          <t>TÖREBODA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46268</v>
      </c>
      <c r="E263" s="1" t="n">
        <v>46297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46297</v>
      </c>
      <c r="F264" t="inlineStr">
        <is>
          <t>VÄSTRA GÖTALANDS LÄN</t>
        </is>
      </c>
      <c r="G264" t="inlineStr">
        <is>
          <t>TÖREBODA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44816</v>
      </c>
      <c r="E265" s="1" t="n">
        <v>46297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Kyrkan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46282</v>
      </c>
      <c r="E266" s="1" t="n">
        <v>46297</v>
      </c>
      <c r="F266" t="inlineStr">
        <is>
          <t>VÄSTRA GÖTALANDS LÄN</t>
        </is>
      </c>
      <c r="G266" t="inlineStr">
        <is>
          <t>TÖREBODA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46297</v>
      </c>
      <c r="F267" t="inlineStr">
        <is>
          <t>VÄSTRA GÖTALANDS LÄN</t>
        </is>
      </c>
      <c r="G267" t="inlineStr">
        <is>
          <t>TÖREBODA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44599</v>
      </c>
      <c r="E268" s="1" t="n">
        <v>46297</v>
      </c>
      <c r="F268" t="inlineStr">
        <is>
          <t>VÄSTRA GÖTALANDS LÄN</t>
        </is>
      </c>
      <c r="G268" t="inlineStr">
        <is>
          <t>TÖREBODA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44900</v>
      </c>
      <c r="E269" s="1" t="n">
        <v>46297</v>
      </c>
      <c r="F269" t="inlineStr">
        <is>
          <t>VÄSTRA GÖTALANDS LÄN</t>
        </is>
      </c>
      <c r="G269" t="inlineStr">
        <is>
          <t>TÖREBODA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46297</v>
      </c>
      <c r="F270" t="inlineStr">
        <is>
          <t>VÄSTRA GÖTALANDS LÄN</t>
        </is>
      </c>
      <c r="G270" t="inlineStr">
        <is>
          <t>TÖREBODA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57670-2023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45246</v>
      </c>
      <c r="E271" s="1" t="n">
        <v>46297</v>
      </c>
      <c r="F271" t="inlineStr">
        <is>
          <t>VÄSTRA GÖTALANDS LÄN</t>
        </is>
      </c>
      <c r="G271" t="inlineStr">
        <is>
          <t>TÖREBODA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58213-2022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46297</v>
      </c>
      <c r="F272" t="inlineStr">
        <is>
          <t>VÄSTRA GÖTALANDS LÄN</t>
        </is>
      </c>
      <c r="G272" t="inlineStr">
        <is>
          <t>TÖREBODA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45076</v>
      </c>
      <c r="E273" s="1" t="n">
        <v>46297</v>
      </c>
      <c r="F273" t="inlineStr">
        <is>
          <t>VÄSTRA GÖTALANDS LÄN</t>
        </is>
      </c>
      <c r="G273" t="inlineStr">
        <is>
          <t>TÖREBODA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46297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44972</v>
      </c>
      <c r="E275" s="1" t="n">
        <v>46297</v>
      </c>
      <c r="F275" t="inlineStr">
        <is>
          <t>VÄSTRA GÖTALANDS LÄN</t>
        </is>
      </c>
      <c r="G275" t="inlineStr">
        <is>
          <t>TÖREBODA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39282-2026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46288</v>
      </c>
      <c r="E276" s="1" t="n">
        <v>46297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46297</v>
      </c>
      <c r="F277" t="inlineStr">
        <is>
          <t>VÄSTRA GÖTALANDS LÄN</t>
        </is>
      </c>
      <c r="G277" t="inlineStr">
        <is>
          <t>TÖREBODA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46297</v>
      </c>
      <c r="F278" t="inlineStr">
        <is>
          <t>VÄSTRA GÖTALANDS LÄN</t>
        </is>
      </c>
      <c r="G278" t="inlineStr">
        <is>
          <t>TÖREBODA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6446-2025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45699</v>
      </c>
      <c r="E279" s="1" t="n">
        <v>46297</v>
      </c>
      <c r="F279" t="inlineStr">
        <is>
          <t>VÄSTRA GÖTALANDS LÄN</t>
        </is>
      </c>
      <c r="G279" t="inlineStr">
        <is>
          <t>TÖREBODA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46297</v>
      </c>
      <c r="F280" t="inlineStr">
        <is>
          <t>VÄSTRA GÖTALANDS LÄN</t>
        </is>
      </c>
      <c r="G280" t="inlineStr">
        <is>
          <t>TÖREBODA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46297</v>
      </c>
      <c r="F281" t="inlineStr">
        <is>
          <t>VÄSTRA GÖTALANDS LÄN</t>
        </is>
      </c>
      <c r="G281" t="inlineStr">
        <is>
          <t>TÖREBODA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46297</v>
      </c>
      <c r="F282" t="inlineStr">
        <is>
          <t>VÄSTRA GÖTALANDS LÄN</t>
        </is>
      </c>
      <c r="G282" t="inlineStr">
        <is>
          <t>TÖREBODA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44987</v>
      </c>
      <c r="E283" s="1" t="n">
        <v>46297</v>
      </c>
      <c r="F283" t="inlineStr">
        <is>
          <t>VÄSTRA GÖTALANDS LÄN</t>
        </is>
      </c>
      <c r="G283" t="inlineStr">
        <is>
          <t>TÖREBODA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46297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44792</v>
      </c>
      <c r="E285" s="1" t="n">
        <v>46297</v>
      </c>
      <c r="F285" t="inlineStr">
        <is>
          <t>VÄSTRA GÖTALANDS LÄN</t>
        </is>
      </c>
      <c r="G285" t="inlineStr">
        <is>
          <t>TÖREBODA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45625</v>
      </c>
      <c r="E286" s="1" t="n">
        <v>46297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4194-2024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45324</v>
      </c>
      <c r="E287" s="1" t="n">
        <v>46297</v>
      </c>
      <c r="F287" t="inlineStr">
        <is>
          <t>VÄSTRA GÖTALANDS LÄN</t>
        </is>
      </c>
      <c r="G287" t="inlineStr">
        <is>
          <t>TÖREBODA</t>
        </is>
      </c>
      <c r="I287" t="n">
        <v>28.9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45322</v>
      </c>
      <c r="E288" s="1" t="n">
        <v>46297</v>
      </c>
      <c r="F288" t="inlineStr">
        <is>
          <t>VÄSTRA GÖTALANDS LÄN</t>
        </is>
      </c>
      <c r="G288" t="inlineStr">
        <is>
          <t>TÖREBODA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45056</v>
      </c>
      <c r="E289" s="1" t="n">
        <v>46297</v>
      </c>
      <c r="F289" t="inlineStr">
        <is>
          <t>VÄSTRA GÖTALANDS LÄN</t>
        </is>
      </c>
      <c r="G289" t="inlineStr">
        <is>
          <t>TÖREBODA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44741</v>
      </c>
      <c r="E290" s="1" t="n">
        <v>46297</v>
      </c>
      <c r="F290" t="inlineStr">
        <is>
          <t>VÄSTRA GÖTALANDS LÄN</t>
        </is>
      </c>
      <c r="G290" t="inlineStr">
        <is>
          <t>TÖREBODA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46297</v>
      </c>
      <c r="F291" t="inlineStr">
        <is>
          <t>VÄSTRA GÖTALANDS LÄN</t>
        </is>
      </c>
      <c r="G291" t="inlineStr">
        <is>
          <t>TÖREBODA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46288</v>
      </c>
      <c r="E292" s="1" t="n">
        <v>46297</v>
      </c>
      <c r="F292" t="inlineStr">
        <is>
          <t>VÄSTRA GÖTALANDS LÄN</t>
        </is>
      </c>
      <c r="G292" t="inlineStr">
        <is>
          <t>TÖREBODA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56831-2022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44894</v>
      </c>
      <c r="E293" s="1" t="n">
        <v>46297</v>
      </c>
      <c r="F293" t="inlineStr">
        <is>
          <t>VÄSTRA GÖTALANDS LÄN</t>
        </is>
      </c>
      <c r="G293" t="inlineStr">
        <is>
          <t>TÖREBODA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46297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46297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46248</v>
      </c>
      <c r="E296" s="1" t="n">
        <v>46297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46297</v>
      </c>
      <c r="F297" t="inlineStr">
        <is>
          <t>VÄSTRA GÖTALANDS LÄN</t>
        </is>
      </c>
      <c r="G297" t="inlineStr">
        <is>
          <t>TÖREBODA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46251</v>
      </c>
      <c r="E298" s="1" t="n">
        <v>46297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46297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46297</v>
      </c>
      <c r="F300" t="inlineStr">
        <is>
          <t>VÄSTRA GÖTALANDS LÄN</t>
        </is>
      </c>
      <c r="G300" t="inlineStr">
        <is>
          <t>TÖREBODA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41627-2022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46297</v>
      </c>
      <c r="F301" t="inlineStr">
        <is>
          <t>VÄSTRA GÖTALANDS LÄN</t>
        </is>
      </c>
      <c r="G301" t="inlineStr">
        <is>
          <t>TÖREBODA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41632-2022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46297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46297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45552</v>
      </c>
      <c r="E304" s="1" t="n">
        <v>46297</v>
      </c>
      <c r="F304" t="inlineStr">
        <is>
          <t>VÄSTRA GÖTALANDS LÄN</t>
        </is>
      </c>
      <c r="G304" t="inlineStr">
        <is>
          <t>TÖREBODA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46297</v>
      </c>
      <c r="F305" t="inlineStr">
        <is>
          <t>VÄSTRA GÖTALANDS LÄN</t>
        </is>
      </c>
      <c r="G305" t="inlineStr">
        <is>
          <t>TÖREBODA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45552</v>
      </c>
      <c r="E306" s="1" t="n">
        <v>46297</v>
      </c>
      <c r="F306" t="inlineStr">
        <is>
          <t>VÄSTRA GÖTALANDS LÄN</t>
        </is>
      </c>
      <c r="G306" t="inlineStr">
        <is>
          <t>TÖREBODA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46297</v>
      </c>
      <c r="F307" t="inlineStr">
        <is>
          <t>VÄSTRA GÖTALANDS LÄN</t>
        </is>
      </c>
      <c r="G307" t="inlineStr">
        <is>
          <t>TÖREBODA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45350</v>
      </c>
      <c r="E308" s="1" t="n">
        <v>46297</v>
      </c>
      <c r="F308" t="inlineStr">
        <is>
          <t>VÄSTRA GÖTALANDS LÄN</t>
        </is>
      </c>
      <c r="G308" t="inlineStr">
        <is>
          <t>TÖREBODA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46297</v>
      </c>
      <c r="F309" t="inlineStr">
        <is>
          <t>VÄSTRA GÖTALANDS LÄN</t>
        </is>
      </c>
      <c r="G309" t="inlineStr">
        <is>
          <t>TÖREBODA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45531</v>
      </c>
      <c r="E310" s="1" t="n">
        <v>46297</v>
      </c>
      <c r="F310" t="inlineStr">
        <is>
          <t>VÄSTRA GÖTALANDS LÄN</t>
        </is>
      </c>
      <c r="G310" t="inlineStr">
        <is>
          <t>TÖREBODA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59438-2022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44907</v>
      </c>
      <c r="E311" s="1" t="n">
        <v>46297</v>
      </c>
      <c r="F311" t="inlineStr">
        <is>
          <t>VÄSTRA GÖTALANDS LÄN</t>
        </is>
      </c>
      <c r="G311" t="inlineStr">
        <is>
          <t>TÖREBODA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45352</v>
      </c>
      <c r="E312" s="1" t="n">
        <v>46297</v>
      </c>
      <c r="F312" t="inlineStr">
        <is>
          <t>VÄSTRA GÖTALANDS LÄN</t>
        </is>
      </c>
      <c r="G312" t="inlineStr">
        <is>
          <t>TÖREBODA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46297</v>
      </c>
      <c r="F313" t="inlineStr">
        <is>
          <t>VÄSTRA GÖTALANDS LÄN</t>
        </is>
      </c>
      <c r="G313" t="inlineStr">
        <is>
          <t>TÖREBODA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45082</v>
      </c>
      <c r="E314" s="1" t="n">
        <v>46297</v>
      </c>
      <c r="F314" t="inlineStr">
        <is>
          <t>VÄSTRA GÖTALANDS LÄN</t>
        </is>
      </c>
      <c r="G314" t="inlineStr">
        <is>
          <t>TÖREBODA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20976-2025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45777</v>
      </c>
      <c r="E315" s="1" t="n">
        <v>46297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45581</v>
      </c>
      <c r="E316" s="1" t="n">
        <v>46297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11730-2025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45727</v>
      </c>
      <c r="E317" s="1" t="n">
        <v>46297</v>
      </c>
      <c r="F317" t="inlineStr">
        <is>
          <t>VÄSTRA GÖTALANDS LÄN</t>
        </is>
      </c>
      <c r="G317" t="inlineStr">
        <is>
          <t>TÖREBODA</t>
        </is>
      </c>
      <c r="I317" t="n">
        <v>11.2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46297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46297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46297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46297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46297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2026-10-02T02:05:57Z</dcterms:created>
  <dcterms:modified xmlns:dcterms="http://purl.org/dc/terms/" xmlns:xsi="http://www.w3.org/2001/XMLSchema-instance" xsi:type="dcterms:W3CDTF">2026-10-02T02:05:57Z</dcterms:modified>
</cp:coreProperties>
</file>