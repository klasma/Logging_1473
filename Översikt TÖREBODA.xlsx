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46281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46281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46281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46281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46281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46281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46281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46281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46281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46281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46281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46281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39894-2023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46281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HYPERLINK("https://klasma.github.io/Logging_1473/artfynd/A 39894-2023 artfynd.xlsx", "A 39894-2023")</f>
        <v/>
      </c>
      <c r="X18">
        <f>HYPERLINK("https://klasma.github.io/Logging_1473/kartor/A 39894-2023 karta.png", "A 39894-2023")</f>
        <v/>
      </c>
      <c r="Y18">
        <f>HYPERLINK("https://klasma.github.io/Logging_1473/kartor_geotiff/A 39894-2023 georefererad karta.tif", "A 39894-2023")</f>
        <v/>
      </c>
      <c r="AA18">
        <f>HYPERLINK("https://klasma.github.io/Logging_1473/klagomål/A 39894-2023 FSC-klagomål.docx", "A 39894-2023")</f>
        <v/>
      </c>
      <c r="AB18">
        <f>HYPERLINK("https://klasma.github.io/Logging_1473/klagomålsmail/A 39894-2023 FSC-klagomål mail.docx", "A 39894-2023")</f>
        <v/>
      </c>
      <c r="AC18">
        <f>HYPERLINK("https://klasma.github.io/Logging_1473/tillsyn/A 39894-2023 tillsynsbegäran.docx", "A 39894-2023")</f>
        <v/>
      </c>
      <c r="AD18">
        <f>HYPERLINK("https://klasma.github.io/Logging_1473/tillsynsmail/A 39894-2023 tillsynsbegäran mail.docx", "A 39894-2023")</f>
        <v/>
      </c>
      <c r="AE18">
        <f>HYPERLINK("https://klasma.github.io/Logging_1473/fåglar/A 39894-2023 prioriterade fågelarter.docx", "A 39894-2023")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46281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46281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46281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46281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46281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46281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46281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46281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30816-2026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46281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Kyrkan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HYPERLINK("https://klasma.github.io/Logging_1473/artfynd/A 30816-2026 artfynd.xlsx", "A 30816-2026")</f>
        <v/>
      </c>
      <c r="X27">
        <f>HYPERLINK("https://klasma.github.io/Logging_1473/kartor/A 30816-2026 karta.png", "A 30816-2026")</f>
        <v/>
      </c>
      <c r="Y27">
        <f>HYPERLINK("https://klasma.github.io/Logging_1473/kartor_geotiff/A 30816-2026 georefererad karta.tif", "A 30816-2026")</f>
        <v/>
      </c>
      <c r="AA27">
        <f>HYPERLINK("https://klasma.github.io/Logging_1473/klagomål/A 30816-2026 FSC-klagomål.docx", "A 30816-2026")</f>
        <v/>
      </c>
      <c r="AB27">
        <f>HYPERLINK("https://klasma.github.io/Logging_1473/klagomålsmail/A 30816-2026 FSC-klagomål mail.docx", "A 30816-2026")</f>
        <v/>
      </c>
      <c r="AC27">
        <f>HYPERLINK("https://klasma.github.io/Logging_1473/tillsyn/A 30816-2026 tillsynsbegäran.docx", "A 30816-2026")</f>
        <v/>
      </c>
      <c r="AD27">
        <f>HYPERLINK("https://klasma.github.io/Logging_1473/tillsynsmail/A 30816-2026 tillsynsbegäran mail.docx", "A 30816-2026")</f>
        <v/>
      </c>
      <c r="AE27">
        <f>HYPERLINK("https://klasma.github.io/Logging_1473/fåglar/A 30816-2026 prioriterade fågelarter.docx", "A 30816-2026")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46281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37240-2026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46281</v>
      </c>
      <c r="F29" t="inlineStr">
        <is>
          <t>VÄSTRA GÖTALANDS LÄN</t>
        </is>
      </c>
      <c r="G29" t="inlineStr">
        <is>
          <t>TÖREBODA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HYPERLINK("https://klasma.github.io/Logging_1473/artfynd/A 37240-2026 artfynd.xlsx", "A 37240-2026")</f>
        <v/>
      </c>
      <c r="X29">
        <f>HYPERLINK("https://klasma.github.io/Logging_1473/kartor/A 37240-2026 karta.png", "A 37240-2026")</f>
        <v/>
      </c>
      <c r="Y29">
        <f>HYPERLINK("https://klasma.github.io/Logging_1473/kartor_geotiff/A 37240-2026 georefererad karta.tif", "A 37240-2026")</f>
        <v/>
      </c>
      <c r="AA29">
        <f>HYPERLINK("https://klasma.github.io/Logging_1473/klagomål/A 37240-2026 FSC-klagomål.docx", "A 37240-2026")</f>
        <v/>
      </c>
      <c r="AB29">
        <f>HYPERLINK("https://klasma.github.io/Logging_1473/klagomålsmail/A 37240-2026 FSC-klagomål mail.docx", "A 37240-2026")</f>
        <v/>
      </c>
      <c r="AC29">
        <f>HYPERLINK("https://klasma.github.io/Logging_1473/tillsyn/A 37240-2026 tillsynsbegäran.docx", "A 37240-2026")</f>
        <v/>
      </c>
      <c r="AD29">
        <f>HYPERLINK("https://klasma.github.io/Logging_1473/tillsynsmail/A 37240-2026 tillsynsbegäran mail.docx", "A 37240-2026")</f>
        <v/>
      </c>
    </row>
    <row r="30" ht="15" customHeight="1">
      <c r="A30" t="inlineStr">
        <is>
          <t>A 12168-2025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45729</v>
      </c>
      <c r="E30" s="1" t="n">
        <v>46281</v>
      </c>
      <c r="F30" t="inlineStr">
        <is>
          <t>VÄSTRA GÖTALANDS LÄN</t>
        </is>
      </c>
      <c r="G30" t="inlineStr">
        <is>
          <t>TÖREBODA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HYPERLINK("https://klasma.github.io/Logging_1473/artfynd/A 12168-2025 artfynd.xlsx", "A 12168-2025")</f>
        <v/>
      </c>
      <c r="X30">
        <f>HYPERLINK("https://klasma.github.io/Logging_1473/kartor/A 12168-2025 karta.png", "A 12168-2025")</f>
        <v/>
      </c>
      <c r="Y30">
        <f>HYPERLINK("https://klasma.github.io/Logging_1473/kartor_geotiff/A 12168-2025 georefererad karta.tif", "A 12168-2025")</f>
        <v/>
      </c>
      <c r="AA30">
        <f>HYPERLINK("https://klasma.github.io/Logging_1473/klagomål/A 12168-2025 FSC-klagomål.docx", "A 12168-2025")</f>
        <v/>
      </c>
      <c r="AB30">
        <f>HYPERLINK("https://klasma.github.io/Logging_1473/klagomålsmail/A 12168-2025 FSC-klagomål mail.docx", "A 12168-2025")</f>
        <v/>
      </c>
      <c r="AC30">
        <f>HYPERLINK("https://klasma.github.io/Logging_1473/tillsyn/A 12168-2025 tillsynsbegäran.docx", "A 12168-2025")</f>
        <v/>
      </c>
      <c r="AD30">
        <f>HYPERLINK("https://klasma.github.io/Logging_1473/tillsynsmail/A 12168-2025 tillsynsbegäran mail.docx", "A 12168-2025")</f>
        <v/>
      </c>
      <c r="AE30">
        <f>HYPERLINK("https://klasma.github.io/Logging_1473/fåglar/A 12168-2025 prioriterade fågelarter.docx", "A 12168-2025")</f>
        <v/>
      </c>
    </row>
    <row r="31" ht="15" customHeight="1">
      <c r="A31" t="inlineStr">
        <is>
          <t>A 17540-2025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46281</v>
      </c>
      <c r="F31" t="inlineStr">
        <is>
          <t>VÄSTRA GÖTALANDS LÄN</t>
        </is>
      </c>
      <c r="G31" t="inlineStr">
        <is>
          <t>TÖREBODA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Vattenfladdermus</t>
        </is>
      </c>
      <c r="W31">
        <f>HYPERLINK("https://klasma.github.io/Logging_1473/artfynd/A 17540-2025 artfynd.xlsx", "A 17540-2025")</f>
        <v/>
      </c>
      <c r="X31">
        <f>HYPERLINK("https://klasma.github.io/Logging_1473/kartor/A 17540-2025 karta.png", "A 17540-2025")</f>
        <v/>
      </c>
      <c r="Y31">
        <f>HYPERLINK("https://klasma.github.io/Logging_1473/kartor_geotiff/A 17540-2025 georefererad karta.tif", "A 17540-2025")</f>
        <v/>
      </c>
      <c r="AA31">
        <f>HYPERLINK("https://klasma.github.io/Logging_1473/klagomål/A 17540-2025 FSC-klagomål.docx", "A 17540-2025")</f>
        <v/>
      </c>
      <c r="AB31">
        <f>HYPERLINK("https://klasma.github.io/Logging_1473/klagomålsmail/A 17540-2025 FSC-klagomål mail.docx", "A 17540-2025")</f>
        <v/>
      </c>
      <c r="AC31">
        <f>HYPERLINK("https://klasma.github.io/Logging_1473/tillsyn/A 17540-2025 tillsynsbegäran.docx", "A 17540-2025")</f>
        <v/>
      </c>
      <c r="AD31">
        <f>HYPERLINK("https://klasma.github.io/Logging_1473/tillsynsmail/A 17540-2025 tillsynsbegäran mail.docx", "A 17540-2025")</f>
        <v/>
      </c>
    </row>
    <row r="32" ht="15" customHeight="1">
      <c r="A32" t="inlineStr">
        <is>
          <t>A 14755-2025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45742</v>
      </c>
      <c r="E32" s="1" t="n">
        <v>46281</v>
      </c>
      <c r="F32" t="inlineStr">
        <is>
          <t>VÄSTRA GÖTALANDS LÄN</t>
        </is>
      </c>
      <c r="G32" t="inlineStr">
        <is>
          <t>TÖREBODA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Mattlummer</t>
        </is>
      </c>
      <c r="W32">
        <f>HYPERLINK("https://klasma.github.io/Logging_1473/artfynd/A 14755-2025 artfynd.xlsx", "A 14755-2025")</f>
        <v/>
      </c>
      <c r="X32">
        <f>HYPERLINK("https://klasma.github.io/Logging_1473/kartor/A 14755-2025 karta.png", "A 14755-2025")</f>
        <v/>
      </c>
      <c r="Y32">
        <f>HYPERLINK("https://klasma.github.io/Logging_1473/kartor_geotiff/A 14755-2025 georefererad karta.tif", "A 14755-2025")</f>
        <v/>
      </c>
      <c r="AA32">
        <f>HYPERLINK("https://klasma.github.io/Logging_1473/klagomål/A 14755-2025 FSC-klagomål.docx", "A 14755-2025")</f>
        <v/>
      </c>
      <c r="AB32">
        <f>HYPERLINK("https://klasma.github.io/Logging_1473/klagomålsmail/A 14755-2025 FSC-klagomål mail.docx", "A 14755-2025")</f>
        <v/>
      </c>
      <c r="AC32">
        <f>HYPERLINK("https://klasma.github.io/Logging_1473/tillsyn/A 14755-2025 tillsynsbegäran.docx", "A 14755-2025")</f>
        <v/>
      </c>
      <c r="AD32">
        <f>HYPERLINK("https://klasma.github.io/Logging_1473/tillsynsmail/A 14755-2025 tillsynsbegäran mail.docx", "A 14755-2025")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46281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46281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46281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46281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46281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46281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46281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46281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46281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46281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46281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46281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46281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46281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46281</v>
      </c>
      <c r="F47" t="inlineStr">
        <is>
          <t>VÄSTRA GÖTALANDS LÄN</t>
        </is>
      </c>
      <c r="G47" t="inlineStr">
        <is>
          <t>TÖREBODA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46281</v>
      </c>
      <c r="F48" t="inlineStr">
        <is>
          <t>VÄSTRA GÖTALANDS LÄN</t>
        </is>
      </c>
      <c r="G48" t="inlineStr">
        <is>
          <t>TÖREBODA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46281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46281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46281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46281</v>
      </c>
      <c r="F52" t="inlineStr">
        <is>
          <t>VÄSTRA GÖTALANDS LÄN</t>
        </is>
      </c>
      <c r="G52" t="inlineStr">
        <is>
          <t>TÖREBODA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46281</v>
      </c>
      <c r="F53" t="inlineStr">
        <is>
          <t>VÄSTRA GÖTALANDS LÄN</t>
        </is>
      </c>
      <c r="G53" t="inlineStr">
        <is>
          <t>TÖREBODA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44601</v>
      </c>
      <c r="E54" s="1" t="n">
        <v>46281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46281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46281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46281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46281</v>
      </c>
      <c r="F58" t="inlineStr">
        <is>
          <t>VÄSTRA GÖTALANDS LÄN</t>
        </is>
      </c>
      <c r="G58" t="inlineStr">
        <is>
          <t>TÖREBODA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46281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46281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46281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48973-2023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45209</v>
      </c>
      <c r="E62" s="1" t="n">
        <v>46281</v>
      </c>
      <c r="F62" t="inlineStr">
        <is>
          <t>VÄSTRA GÖTALANDS LÄN</t>
        </is>
      </c>
      <c r="G62" t="inlineStr">
        <is>
          <t>TÖREBODA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46281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46281</v>
      </c>
      <c r="F64" t="inlineStr">
        <is>
          <t>VÄSTRA GÖTALANDS LÄN</t>
        </is>
      </c>
      <c r="G64" t="inlineStr">
        <is>
          <t>TÖREBODA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46281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46281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45720</v>
      </c>
      <c r="E67" s="1" t="n">
        <v>46281</v>
      </c>
      <c r="F67" t="inlineStr">
        <is>
          <t>VÄSTRA GÖTALANDS LÄN</t>
        </is>
      </c>
      <c r="G67" t="inlineStr">
        <is>
          <t>TÖREBODA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46281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46281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45460</v>
      </c>
      <c r="E70" s="1" t="n">
        <v>46281</v>
      </c>
      <c r="F70" t="inlineStr">
        <is>
          <t>VÄSTRA GÖTALANDS LÄN</t>
        </is>
      </c>
      <c r="G70" t="inlineStr">
        <is>
          <t>TÖREBODA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46281</v>
      </c>
      <c r="F71" t="inlineStr">
        <is>
          <t>VÄSTRA GÖTALANDS LÄN</t>
        </is>
      </c>
      <c r="G71" t="inlineStr">
        <is>
          <t>TÖREBODA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46281</v>
      </c>
      <c r="F72" t="inlineStr">
        <is>
          <t>VÄSTRA GÖTALANDS LÄN</t>
        </is>
      </c>
      <c r="G72" t="inlineStr">
        <is>
          <t>TÖREBODA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28196-2022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44746</v>
      </c>
      <c r="E73" s="1" t="n">
        <v>46281</v>
      </c>
      <c r="F73" t="inlineStr">
        <is>
          <t>VÄSTRA GÖTALANDS LÄN</t>
        </is>
      </c>
      <c r="G73" t="inlineStr">
        <is>
          <t>TÖREBODA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46281</v>
      </c>
      <c r="F74" t="inlineStr">
        <is>
          <t>VÄSTRA GÖTALANDS LÄN</t>
        </is>
      </c>
      <c r="G74" t="inlineStr">
        <is>
          <t>TÖREBODA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45457</v>
      </c>
      <c r="E75" s="1" t="n">
        <v>46281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Övriga statliga verk och myndigheter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35232-2024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45530</v>
      </c>
      <c r="E76" s="1" t="n">
        <v>46281</v>
      </c>
      <c r="F76" t="inlineStr">
        <is>
          <t>VÄSTRA GÖTALANDS LÄN</t>
        </is>
      </c>
      <c r="G76" t="inlineStr">
        <is>
          <t>TÖREBODA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46281</v>
      </c>
      <c r="F77" t="inlineStr">
        <is>
          <t>VÄSTRA GÖTALANDS LÄN</t>
        </is>
      </c>
      <c r="G77" t="inlineStr">
        <is>
          <t>TÖREBODA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44950</v>
      </c>
      <c r="E78" s="1" t="n">
        <v>46281</v>
      </c>
      <c r="F78" t="inlineStr">
        <is>
          <t>VÄSTRA GÖTALANDS LÄN</t>
        </is>
      </c>
      <c r="G78" t="inlineStr">
        <is>
          <t>TÖREBODA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46281</v>
      </c>
      <c r="F79" t="inlineStr">
        <is>
          <t>VÄSTRA GÖTALANDS LÄN</t>
        </is>
      </c>
      <c r="G79" t="inlineStr">
        <is>
          <t>TÖREBODA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45531</v>
      </c>
      <c r="E80" s="1" t="n">
        <v>46281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46281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statliga verk och myndigheter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46281</v>
      </c>
      <c r="F82" t="inlineStr">
        <is>
          <t>VÄSTRA GÖTALANDS LÄN</t>
        </is>
      </c>
      <c r="G82" t="inlineStr">
        <is>
          <t>TÖREBODA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64799-2023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45282</v>
      </c>
      <c r="E83" s="1" t="n">
        <v>46281</v>
      </c>
      <c r="F83" t="inlineStr">
        <is>
          <t>VÄSTRA GÖTALANDS LÄN</t>
        </is>
      </c>
      <c r="G83" t="inlineStr">
        <is>
          <t>TÖREBODA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44853</v>
      </c>
      <c r="E84" s="1" t="n">
        <v>46281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45694</v>
      </c>
      <c r="E85" s="1" t="n">
        <v>46281</v>
      </c>
      <c r="F85" t="inlineStr">
        <is>
          <t>VÄSTRA GÖTALANDS LÄN</t>
        </is>
      </c>
      <c r="G85" t="inlineStr">
        <is>
          <t>TÖREBODA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46281</v>
      </c>
      <c r="F86" t="inlineStr">
        <is>
          <t>VÄSTRA GÖTALANDS LÄN</t>
        </is>
      </c>
      <c r="G86" t="inlineStr">
        <is>
          <t>TÖREBODA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45885</v>
      </c>
      <c r="E87" s="1" t="n">
        <v>46281</v>
      </c>
      <c r="F87" t="inlineStr">
        <is>
          <t>VÄSTRA GÖTALANDS LÄN</t>
        </is>
      </c>
      <c r="G87" t="inlineStr">
        <is>
          <t>TÖREBODA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45885</v>
      </c>
      <c r="E88" s="1" t="n">
        <v>46281</v>
      </c>
      <c r="F88" t="inlineStr">
        <is>
          <t>VÄSTRA GÖTALANDS LÄN</t>
        </is>
      </c>
      <c r="G88" t="inlineStr">
        <is>
          <t>TÖREBODA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46085</v>
      </c>
      <c r="E89" s="1" t="n">
        <v>46281</v>
      </c>
      <c r="F89" t="inlineStr">
        <is>
          <t>VÄSTRA GÖTALANDS LÄN</t>
        </is>
      </c>
      <c r="G89" t="inlineStr">
        <is>
          <t>TÖREBODA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45341</v>
      </c>
      <c r="E90" s="1" t="n">
        <v>46281</v>
      </c>
      <c r="F90" t="inlineStr">
        <is>
          <t>VÄSTRA GÖTALANDS LÄN</t>
        </is>
      </c>
      <c r="G90" t="inlineStr">
        <is>
          <t>TÖREBODA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46281</v>
      </c>
      <c r="F91" t="inlineStr">
        <is>
          <t>VÄSTRA GÖTALANDS LÄN</t>
        </is>
      </c>
      <c r="G91" t="inlineStr">
        <is>
          <t>TÖREBODA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46281</v>
      </c>
      <c r="F92" t="inlineStr">
        <is>
          <t>VÄSTRA GÖTALANDS LÄN</t>
        </is>
      </c>
      <c r="G92" t="inlineStr">
        <is>
          <t>TÖREBODA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45481</v>
      </c>
      <c r="E93" s="1" t="n">
        <v>46281</v>
      </c>
      <c r="F93" t="inlineStr">
        <is>
          <t>VÄSTRA GÖTALANDS LÄN</t>
        </is>
      </c>
      <c r="G93" t="inlineStr">
        <is>
          <t>TÖREBODA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46281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45233</v>
      </c>
      <c r="E95" s="1" t="n">
        <v>46281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Övriga statliga verk och myndigheter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46281</v>
      </c>
      <c r="F96" t="inlineStr">
        <is>
          <t>VÄSTRA GÖTALANDS LÄN</t>
        </is>
      </c>
      <c r="G96" t="inlineStr">
        <is>
          <t>TÖREBODA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46281</v>
      </c>
      <c r="F97" t="inlineStr">
        <is>
          <t>VÄSTRA GÖTALANDS LÄN</t>
        </is>
      </c>
      <c r="G97" t="inlineStr">
        <is>
          <t>TÖREBODA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44907</v>
      </c>
      <c r="E98" s="1" t="n">
        <v>46281</v>
      </c>
      <c r="F98" t="inlineStr">
        <is>
          <t>VÄSTRA GÖTALANDS LÄN</t>
        </is>
      </c>
      <c r="G98" t="inlineStr">
        <is>
          <t>TÖREBODA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46281</v>
      </c>
      <c r="F99" t="inlineStr">
        <is>
          <t>VÄSTRA GÖTALANDS LÄN</t>
        </is>
      </c>
      <c r="G99" t="inlineStr">
        <is>
          <t>TÖREBODA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46281</v>
      </c>
      <c r="F100" t="inlineStr">
        <is>
          <t>VÄSTRA GÖTALANDS LÄN</t>
        </is>
      </c>
      <c r="G100" t="inlineStr">
        <is>
          <t>TÖREBODA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46281</v>
      </c>
      <c r="F101" t="inlineStr">
        <is>
          <t>VÄSTRA GÖTALANDS LÄN</t>
        </is>
      </c>
      <c r="G101" t="inlineStr">
        <is>
          <t>TÖREBODA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46281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46281</v>
      </c>
      <c r="F103" t="inlineStr">
        <is>
          <t>VÄSTRA GÖTALANDS LÄN</t>
        </is>
      </c>
      <c r="G103" t="inlineStr">
        <is>
          <t>TÖREBODA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44988</v>
      </c>
      <c r="E104" s="1" t="n">
        <v>46281</v>
      </c>
      <c r="F104" t="inlineStr">
        <is>
          <t>VÄSTRA GÖTALANDS LÄN</t>
        </is>
      </c>
      <c r="G104" t="inlineStr">
        <is>
          <t>TÖREBODA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46281</v>
      </c>
      <c r="F105" t="inlineStr">
        <is>
          <t>VÄSTRA GÖTALANDS LÄN</t>
        </is>
      </c>
      <c r="G105" t="inlineStr">
        <is>
          <t>TÖREBODA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46281</v>
      </c>
      <c r="F106" t="inlineStr">
        <is>
          <t>VÄSTRA GÖTALANDS LÄN</t>
        </is>
      </c>
      <c r="G106" t="inlineStr">
        <is>
          <t>TÖREBODA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45803</v>
      </c>
      <c r="E107" s="1" t="n">
        <v>46281</v>
      </c>
      <c r="F107" t="inlineStr">
        <is>
          <t>VÄSTRA GÖTALANDS LÄN</t>
        </is>
      </c>
      <c r="G107" t="inlineStr">
        <is>
          <t>TÖREBODA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46281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44924</v>
      </c>
      <c r="E109" s="1" t="n">
        <v>46281</v>
      </c>
      <c r="F109" t="inlineStr">
        <is>
          <t>VÄSTRA GÖTALANDS LÄN</t>
        </is>
      </c>
      <c r="G109" t="inlineStr">
        <is>
          <t>TÖREBODA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46281</v>
      </c>
      <c r="F110" t="inlineStr">
        <is>
          <t>VÄSTRA GÖTALANDS LÄN</t>
        </is>
      </c>
      <c r="G110" t="inlineStr">
        <is>
          <t>TÖREBODA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46281</v>
      </c>
      <c r="F111" t="inlineStr">
        <is>
          <t>VÄSTRA GÖTALANDS LÄN</t>
        </is>
      </c>
      <c r="G111" t="inlineStr">
        <is>
          <t>TÖREBODA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44740</v>
      </c>
      <c r="E112" s="1" t="n">
        <v>46281</v>
      </c>
      <c r="F112" t="inlineStr">
        <is>
          <t>VÄSTRA GÖTALANDS LÄN</t>
        </is>
      </c>
      <c r="G112" t="inlineStr">
        <is>
          <t>TÖREBODA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45651</v>
      </c>
      <c r="E113" s="1" t="n">
        <v>46281</v>
      </c>
      <c r="F113" t="inlineStr">
        <is>
          <t>VÄSTRA GÖTALANDS LÄN</t>
        </is>
      </c>
      <c r="G113" t="inlineStr">
        <is>
          <t>TÖREBODA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46281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45127</v>
      </c>
      <c r="E115" s="1" t="n">
        <v>46281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46281</v>
      </c>
      <c r="F116" t="inlineStr">
        <is>
          <t>VÄSTRA GÖTALANDS LÄN</t>
        </is>
      </c>
      <c r="G116" t="inlineStr">
        <is>
          <t>TÖREBODA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46281</v>
      </c>
      <c r="F117" t="inlineStr">
        <is>
          <t>VÄSTRA GÖTALANDS LÄN</t>
        </is>
      </c>
      <c r="G117" t="inlineStr">
        <is>
          <t>TÖREBODA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44858</v>
      </c>
      <c r="E118" s="1" t="n">
        <v>46281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46281</v>
      </c>
      <c r="F119" t="inlineStr">
        <is>
          <t>VÄSTRA GÖTALANDS LÄN</t>
        </is>
      </c>
      <c r="G119" t="inlineStr">
        <is>
          <t>TÖREBODA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45924</v>
      </c>
      <c r="E120" s="1" t="n">
        <v>46281</v>
      </c>
      <c r="F120" t="inlineStr">
        <is>
          <t>VÄSTRA GÖTALANDS LÄN</t>
        </is>
      </c>
      <c r="G120" t="inlineStr">
        <is>
          <t>TÖREBODA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46281</v>
      </c>
      <c r="F121" t="inlineStr">
        <is>
          <t>VÄSTRA GÖTALANDS LÄN</t>
        </is>
      </c>
      <c r="G121" t="inlineStr">
        <is>
          <t>TÖREBODA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46281</v>
      </c>
      <c r="F122" t="inlineStr">
        <is>
          <t>VÄSTRA GÖTALANDS LÄN</t>
        </is>
      </c>
      <c r="G122" t="inlineStr">
        <is>
          <t>TÖREBODA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46122</v>
      </c>
      <c r="E123" s="1" t="n">
        <v>46281</v>
      </c>
      <c r="F123" t="inlineStr">
        <is>
          <t>VÄSTRA GÖTALANDS LÄN</t>
        </is>
      </c>
      <c r="G123" t="inlineStr">
        <is>
          <t>TÖREBODA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45399</v>
      </c>
      <c r="E124" s="1" t="n">
        <v>46281</v>
      </c>
      <c r="F124" t="inlineStr">
        <is>
          <t>VÄSTRA GÖTALANDS LÄN</t>
        </is>
      </c>
      <c r="G124" t="inlineStr">
        <is>
          <t>TÖREBODA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46281</v>
      </c>
      <c r="F125" t="inlineStr">
        <is>
          <t>VÄSTRA GÖTALANDS LÄN</t>
        </is>
      </c>
      <c r="G125" t="inlineStr">
        <is>
          <t>TÖREBODA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19723-2023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46281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46281</v>
      </c>
      <c r="F127" t="inlineStr">
        <is>
          <t>VÄSTRA GÖTALANDS LÄN</t>
        </is>
      </c>
      <c r="G127" t="inlineStr">
        <is>
          <t>TÖREBODA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46281</v>
      </c>
      <c r="F128" t="inlineStr">
        <is>
          <t>VÄSTRA GÖTALANDS LÄN</t>
        </is>
      </c>
      <c r="G128" t="inlineStr">
        <is>
          <t>TÖREBODA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46281</v>
      </c>
      <c r="F129" t="inlineStr">
        <is>
          <t>VÄSTRA GÖTALANDS LÄN</t>
        </is>
      </c>
      <c r="G129" t="inlineStr">
        <is>
          <t>TÖREBODA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46281</v>
      </c>
      <c r="F130" t="inlineStr">
        <is>
          <t>VÄSTRA GÖTALANDS LÄN</t>
        </is>
      </c>
      <c r="G130" t="inlineStr">
        <is>
          <t>TÖREBODA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46281</v>
      </c>
      <c r="F131" t="inlineStr">
        <is>
          <t>VÄSTRA GÖTALANDS LÄN</t>
        </is>
      </c>
      <c r="G131" t="inlineStr">
        <is>
          <t>TÖREBODA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46281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46281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46281</v>
      </c>
      <c r="F134" t="inlineStr">
        <is>
          <t>VÄSTRA GÖTALANDS LÄN</t>
        </is>
      </c>
      <c r="G134" t="inlineStr">
        <is>
          <t>TÖREBODA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19706-2026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46134</v>
      </c>
      <c r="E135" s="1" t="n">
        <v>46281</v>
      </c>
      <c r="F135" t="inlineStr">
        <is>
          <t>VÄSTRA GÖTALANDS LÄN</t>
        </is>
      </c>
      <c r="G135" t="inlineStr">
        <is>
          <t>TÖREBODA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46281</v>
      </c>
      <c r="F136" t="inlineStr">
        <is>
          <t>VÄSTRA GÖTALANDS LÄN</t>
        </is>
      </c>
      <c r="G136" t="inlineStr">
        <is>
          <t>TÖREBODA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44923</v>
      </c>
      <c r="E137" s="1" t="n">
        <v>46281</v>
      </c>
      <c r="F137" t="inlineStr">
        <is>
          <t>VÄSTRA GÖTALANDS LÄN</t>
        </is>
      </c>
      <c r="G137" t="inlineStr">
        <is>
          <t>TÖREBODA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46281</v>
      </c>
      <c r="F138" t="inlineStr">
        <is>
          <t>VÄSTRA GÖTALANDS LÄN</t>
        </is>
      </c>
      <c r="G138" t="inlineStr">
        <is>
          <t>TÖREBODA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46281</v>
      </c>
      <c r="F139" t="inlineStr">
        <is>
          <t>VÄSTRA GÖTALANDS LÄN</t>
        </is>
      </c>
      <c r="G139" t="inlineStr">
        <is>
          <t>TÖREBODA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46281</v>
      </c>
      <c r="F140" t="inlineStr">
        <is>
          <t>VÄSTRA GÖTALANDS LÄN</t>
        </is>
      </c>
      <c r="G140" t="inlineStr">
        <is>
          <t>TÖREBODA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45954</v>
      </c>
      <c r="E141" s="1" t="n">
        <v>46281</v>
      </c>
      <c r="F141" t="inlineStr">
        <is>
          <t>VÄSTRA GÖTALANDS LÄN</t>
        </is>
      </c>
      <c r="G141" t="inlineStr">
        <is>
          <t>TÖREBODA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46281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45961</v>
      </c>
      <c r="E143" s="1" t="n">
        <v>46281</v>
      </c>
      <c r="F143" t="inlineStr">
        <is>
          <t>VÄSTRA GÖTALANDS LÄN</t>
        </is>
      </c>
      <c r="G143" t="inlineStr">
        <is>
          <t>TÖREBODA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46281</v>
      </c>
      <c r="F144" t="inlineStr">
        <is>
          <t>VÄSTRA GÖTALANDS LÄN</t>
        </is>
      </c>
      <c r="G144" t="inlineStr">
        <is>
          <t>TÖREBODA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46281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55593-2025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45971</v>
      </c>
      <c r="E146" s="1" t="n">
        <v>46281</v>
      </c>
      <c r="F146" t="inlineStr">
        <is>
          <t>VÄSTRA GÖTALANDS LÄN</t>
        </is>
      </c>
      <c r="G146" t="inlineStr">
        <is>
          <t>TÖREBODA</t>
        </is>
      </c>
      <c r="I146" t="n">
        <v>20.8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46281</v>
      </c>
      <c r="F147" t="inlineStr">
        <is>
          <t>VÄSTRA GÖTALANDS LÄN</t>
        </is>
      </c>
      <c r="G147" t="inlineStr">
        <is>
          <t>TÖREBODA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46281</v>
      </c>
      <c r="F148" t="inlineStr">
        <is>
          <t>VÄSTRA GÖTALANDS LÄN</t>
        </is>
      </c>
      <c r="G148" t="inlineStr">
        <is>
          <t>TÖREBODA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46281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46281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55766-2025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45972</v>
      </c>
      <c r="E151" s="1" t="n">
        <v>46281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46281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45077</v>
      </c>
      <c r="E153" s="1" t="n">
        <v>46281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Övriga Aktiebolag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46281</v>
      </c>
      <c r="F154" t="inlineStr">
        <is>
          <t>VÄSTRA GÖTALANDS LÄN</t>
        </is>
      </c>
      <c r="G154" t="inlineStr">
        <is>
          <t>TÖREBODA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46281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46281</v>
      </c>
      <c r="F156" t="inlineStr">
        <is>
          <t>VÄSTRA GÖTALANDS LÄN</t>
        </is>
      </c>
      <c r="G156" t="inlineStr">
        <is>
          <t>TÖREBODA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46281</v>
      </c>
      <c r="F157" t="inlineStr">
        <is>
          <t>VÄSTRA GÖTALANDS LÄN</t>
        </is>
      </c>
      <c r="G157" t="inlineStr">
        <is>
          <t>TÖREBODA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44987</v>
      </c>
      <c r="E158" s="1" t="n">
        <v>46281</v>
      </c>
      <c r="F158" t="inlineStr">
        <is>
          <t>VÄSTRA GÖTALANDS LÄN</t>
        </is>
      </c>
      <c r="G158" t="inlineStr">
        <is>
          <t>TÖREBODA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44923</v>
      </c>
      <c r="E159" s="1" t="n">
        <v>46281</v>
      </c>
      <c r="F159" t="inlineStr">
        <is>
          <t>VÄSTRA GÖTALANDS LÄN</t>
        </is>
      </c>
      <c r="G159" t="inlineStr">
        <is>
          <t>TÖREBODA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54621-2021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46281</v>
      </c>
      <c r="F160" t="inlineStr">
        <is>
          <t>VÄSTRA GÖTALANDS LÄN</t>
        </is>
      </c>
      <c r="G160" t="inlineStr">
        <is>
          <t>TÖREBODA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45344</v>
      </c>
      <c r="E161" s="1" t="n">
        <v>46281</v>
      </c>
      <c r="F161" t="inlineStr">
        <is>
          <t>VÄSTRA GÖTALANDS LÄN</t>
        </is>
      </c>
      <c r="G161" t="inlineStr">
        <is>
          <t>TÖREBODA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45627</v>
      </c>
      <c r="E162" s="1" t="n">
        <v>46281</v>
      </c>
      <c r="F162" t="inlineStr">
        <is>
          <t>VÄSTRA GÖTALANDS LÄN</t>
        </is>
      </c>
      <c r="G162" t="inlineStr">
        <is>
          <t>TÖREBODA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46281</v>
      </c>
      <c r="F163" t="inlineStr">
        <is>
          <t>VÄSTRA GÖTALANDS LÄN</t>
        </is>
      </c>
      <c r="G163" t="inlineStr">
        <is>
          <t>TÖREBODA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45664</v>
      </c>
      <c r="E164" s="1" t="n">
        <v>46281</v>
      </c>
      <c r="F164" t="inlineStr">
        <is>
          <t>VÄSTRA GÖTALANDS LÄN</t>
        </is>
      </c>
      <c r="G164" t="inlineStr">
        <is>
          <t>TÖREBODA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45699</v>
      </c>
      <c r="E165" s="1" t="n">
        <v>46281</v>
      </c>
      <c r="F165" t="inlineStr">
        <is>
          <t>VÄSTRA GÖTALANDS LÄN</t>
        </is>
      </c>
      <c r="G165" t="inlineStr">
        <is>
          <t>TÖREBODA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32463-2022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44782</v>
      </c>
      <c r="E166" s="1" t="n">
        <v>46281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Övriga statliga verk och myndigheter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46281</v>
      </c>
      <c r="F167" t="inlineStr">
        <is>
          <t>VÄSTRA GÖTALANDS LÄN</t>
        </is>
      </c>
      <c r="G167" t="inlineStr">
        <is>
          <t>TÖREBODA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46281</v>
      </c>
      <c r="F168" t="inlineStr">
        <is>
          <t>VÄSTRA GÖTALANDS LÄN</t>
        </is>
      </c>
      <c r="G168" t="inlineStr">
        <is>
          <t>TÖREBODA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44756</v>
      </c>
      <c r="E169" s="1" t="n">
        <v>46281</v>
      </c>
      <c r="F169" t="inlineStr">
        <is>
          <t>VÄSTRA GÖTALANDS LÄN</t>
        </is>
      </c>
      <c r="G169" t="inlineStr">
        <is>
          <t>TÖREBODA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46152</v>
      </c>
      <c r="E170" s="1" t="n">
        <v>46281</v>
      </c>
      <c r="F170" t="inlineStr">
        <is>
          <t>VÄSTRA GÖTALANDS LÄN</t>
        </is>
      </c>
      <c r="G170" t="inlineStr">
        <is>
          <t>TÖREBODA</t>
        </is>
      </c>
      <c r="I170" t="n">
        <v>8.6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46152</v>
      </c>
      <c r="E171" s="1" t="n">
        <v>46281</v>
      </c>
      <c r="F171" t="inlineStr">
        <is>
          <t>VÄSTRA GÖTALANDS LÄN</t>
        </is>
      </c>
      <c r="G171" t="inlineStr">
        <is>
          <t>TÖREBODA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46281</v>
      </c>
      <c r="F172" t="inlineStr">
        <is>
          <t>VÄSTRA GÖTALANDS LÄN</t>
        </is>
      </c>
      <c r="G172" t="inlineStr">
        <is>
          <t>TÖREBODA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46281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46281</v>
      </c>
      <c r="F174" t="inlineStr">
        <is>
          <t>VÄSTRA GÖTALANDS LÄN</t>
        </is>
      </c>
      <c r="G174" t="inlineStr">
        <is>
          <t>TÖREBODA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46281</v>
      </c>
      <c r="F175" t="inlineStr">
        <is>
          <t>VÄSTRA GÖTALANDS LÄN</t>
        </is>
      </c>
      <c r="G175" t="inlineStr">
        <is>
          <t>TÖREBODA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46152</v>
      </c>
      <c r="E176" s="1" t="n">
        <v>46281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46281</v>
      </c>
      <c r="F177" t="inlineStr">
        <is>
          <t>VÄSTRA GÖTALANDS LÄN</t>
        </is>
      </c>
      <c r="G177" t="inlineStr">
        <is>
          <t>TÖREBODA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46152</v>
      </c>
      <c r="E178" s="1" t="n">
        <v>46281</v>
      </c>
      <c r="F178" t="inlineStr">
        <is>
          <t>VÄSTRA GÖTALANDS LÄN</t>
        </is>
      </c>
      <c r="G178" t="inlineStr">
        <is>
          <t>TÖREBODA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44816</v>
      </c>
      <c r="E179" s="1" t="n">
        <v>46281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Kyrkan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62980-2025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46281</v>
      </c>
      <c r="F180" t="inlineStr">
        <is>
          <t>VÄSTRA GÖTALANDS LÄN</t>
        </is>
      </c>
      <c r="G180" t="inlineStr">
        <is>
          <t>TÖREBODA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46281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45643</v>
      </c>
      <c r="E182" s="1" t="n">
        <v>46281</v>
      </c>
      <c r="F182" t="inlineStr">
        <is>
          <t>VÄSTRA GÖTALANDS LÄN</t>
        </is>
      </c>
      <c r="G182" t="inlineStr">
        <is>
          <t>TÖREBODA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44599</v>
      </c>
      <c r="E183" s="1" t="n">
        <v>46281</v>
      </c>
      <c r="F183" t="inlineStr">
        <is>
          <t>VÄSTRA GÖTALANDS LÄN</t>
        </is>
      </c>
      <c r="G183" t="inlineStr">
        <is>
          <t>TÖREBODA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45049</v>
      </c>
      <c r="E184" s="1" t="n">
        <v>46281</v>
      </c>
      <c r="F184" t="inlineStr">
        <is>
          <t>VÄSTRA GÖTALANDS LÄN</t>
        </is>
      </c>
      <c r="G184" t="inlineStr">
        <is>
          <t>TÖREBODA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46281</v>
      </c>
      <c r="F185" t="inlineStr">
        <is>
          <t>VÄSTRA GÖTALANDS LÄN</t>
        </is>
      </c>
      <c r="G185" t="inlineStr">
        <is>
          <t>TÖREBODA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46281</v>
      </c>
      <c r="F186" t="inlineStr">
        <is>
          <t>VÄSTRA GÖTALANDS LÄN</t>
        </is>
      </c>
      <c r="G186" t="inlineStr">
        <is>
          <t>TÖREBODA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46281</v>
      </c>
      <c r="F187" t="inlineStr">
        <is>
          <t>VÄSTRA GÖTALANDS LÄN</t>
        </is>
      </c>
      <c r="G187" t="inlineStr">
        <is>
          <t>TÖREBODA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46168</v>
      </c>
      <c r="E188" s="1" t="n">
        <v>46281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46168</v>
      </c>
      <c r="E189" s="1" t="n">
        <v>46281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45425</v>
      </c>
      <c r="E190" s="1" t="n">
        <v>46281</v>
      </c>
      <c r="F190" t="inlineStr">
        <is>
          <t>VÄSTRA GÖTALANDS LÄN</t>
        </is>
      </c>
      <c r="G190" t="inlineStr">
        <is>
          <t>TÖREBODA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45757</v>
      </c>
      <c r="E191" s="1" t="n">
        <v>46281</v>
      </c>
      <c r="F191" t="inlineStr">
        <is>
          <t>VÄSTRA GÖTALANDS LÄN</t>
        </is>
      </c>
      <c r="G191" t="inlineStr">
        <is>
          <t>TÖREBODA</t>
        </is>
      </c>
      <c r="I191" t="n">
        <v>49.4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44924</v>
      </c>
      <c r="E192" s="1" t="n">
        <v>46281</v>
      </c>
      <c r="F192" t="inlineStr">
        <is>
          <t>VÄSTRA GÖTALANDS LÄN</t>
        </is>
      </c>
      <c r="G192" t="inlineStr">
        <is>
          <t>TÖREBODA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46281</v>
      </c>
      <c r="F193" t="inlineStr">
        <is>
          <t>VÄSTRA GÖTALANDS LÄN</t>
        </is>
      </c>
      <c r="G193" t="inlineStr">
        <is>
          <t>TÖREBODA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45246</v>
      </c>
      <c r="E194" s="1" t="n">
        <v>46281</v>
      </c>
      <c r="F194" t="inlineStr">
        <is>
          <t>VÄSTRA GÖTALANDS LÄN</t>
        </is>
      </c>
      <c r="G194" t="inlineStr">
        <is>
          <t>TÖREBODA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46281</v>
      </c>
      <c r="F195" t="inlineStr">
        <is>
          <t>VÄSTRA GÖTALANDS LÄN</t>
        </is>
      </c>
      <c r="G195" t="inlineStr">
        <is>
          <t>TÖREBODA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46281</v>
      </c>
      <c r="F196" t="inlineStr">
        <is>
          <t>VÄSTRA GÖTALANDS LÄN</t>
        </is>
      </c>
      <c r="G196" t="inlineStr">
        <is>
          <t>TÖREBODA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46281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45076</v>
      </c>
      <c r="E198" s="1" t="n">
        <v>46281</v>
      </c>
      <c r="F198" t="inlineStr">
        <is>
          <t>VÄSTRA GÖTALANDS LÄN</t>
        </is>
      </c>
      <c r="G198" t="inlineStr">
        <is>
          <t>TÖREBODA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46281</v>
      </c>
      <c r="F199" t="inlineStr">
        <is>
          <t>VÄSTRA GÖTALANDS LÄN</t>
        </is>
      </c>
      <c r="G199" t="inlineStr">
        <is>
          <t>TÖREBODA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44937</v>
      </c>
      <c r="E200" s="1" t="n">
        <v>46281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44890</v>
      </c>
      <c r="E201" s="1" t="n">
        <v>46281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46281</v>
      </c>
      <c r="F202" t="inlineStr">
        <is>
          <t>VÄSTRA GÖTALANDS LÄN</t>
        </is>
      </c>
      <c r="G202" t="inlineStr">
        <is>
          <t>TÖREBODA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46281</v>
      </c>
      <c r="F203" t="inlineStr">
        <is>
          <t>VÄSTRA GÖTALANDS LÄN</t>
        </is>
      </c>
      <c r="G203" t="inlineStr">
        <is>
          <t>TÖREBODA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46281</v>
      </c>
      <c r="F204" t="inlineStr">
        <is>
          <t>VÄSTRA GÖTALANDS LÄN</t>
        </is>
      </c>
      <c r="G204" t="inlineStr">
        <is>
          <t>TÖREBODA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44937</v>
      </c>
      <c r="E205" s="1" t="n">
        <v>46281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45231</v>
      </c>
      <c r="E206" s="1" t="n">
        <v>46281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45450</v>
      </c>
      <c r="E207" s="1" t="n">
        <v>46281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46281</v>
      </c>
      <c r="F208" t="inlineStr">
        <is>
          <t>VÄSTRA GÖTALANDS LÄN</t>
        </is>
      </c>
      <c r="G208" t="inlineStr">
        <is>
          <t>TÖREBODA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45142</v>
      </c>
      <c r="E209" s="1" t="n">
        <v>46281</v>
      </c>
      <c r="F209" t="inlineStr">
        <is>
          <t>VÄSTRA GÖTALANDS LÄN</t>
        </is>
      </c>
      <c r="G209" t="inlineStr">
        <is>
          <t>TÖREBODA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46281</v>
      </c>
      <c r="F210" t="inlineStr">
        <is>
          <t>VÄSTRA GÖTALANDS LÄN</t>
        </is>
      </c>
      <c r="G210" t="inlineStr">
        <is>
          <t>TÖREBODA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46281</v>
      </c>
      <c r="F211" t="inlineStr">
        <is>
          <t>VÄSTRA GÖTALANDS LÄN</t>
        </is>
      </c>
      <c r="G211" t="inlineStr">
        <is>
          <t>TÖREBODA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46281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45309</v>
      </c>
      <c r="E213" s="1" t="n">
        <v>46281</v>
      </c>
      <c r="F213" t="inlineStr">
        <is>
          <t>VÄSTRA GÖTALANDS LÄN</t>
        </is>
      </c>
      <c r="G213" t="inlineStr">
        <is>
          <t>TÖREBODA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6446-2025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45699</v>
      </c>
      <c r="E214" s="1" t="n">
        <v>46281</v>
      </c>
      <c r="F214" t="inlineStr">
        <is>
          <t>VÄSTRA GÖTALANDS LÄN</t>
        </is>
      </c>
      <c r="G214" t="inlineStr">
        <is>
          <t>TÖREBODA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46281</v>
      </c>
      <c r="F215" t="inlineStr">
        <is>
          <t>VÄSTRA GÖTALANDS LÄN</t>
        </is>
      </c>
      <c r="G215" t="inlineStr">
        <is>
          <t>TÖREBODA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46281</v>
      </c>
      <c r="F216" t="inlineStr">
        <is>
          <t>VÄSTRA GÖTALANDS LÄN</t>
        </is>
      </c>
      <c r="G216" t="inlineStr">
        <is>
          <t>TÖREBODA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46281</v>
      </c>
      <c r="F217" t="inlineStr">
        <is>
          <t>VÄSTRA GÖTALANDS LÄN</t>
        </is>
      </c>
      <c r="G217" t="inlineStr">
        <is>
          <t>TÖREBODA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46281</v>
      </c>
      <c r="F218" t="inlineStr">
        <is>
          <t>VÄSTRA GÖTALANDS LÄN</t>
        </is>
      </c>
      <c r="G218" t="inlineStr">
        <is>
          <t>TÖREBODA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44987</v>
      </c>
      <c r="E219" s="1" t="n">
        <v>46281</v>
      </c>
      <c r="F219" t="inlineStr">
        <is>
          <t>VÄSTRA GÖTALANDS LÄN</t>
        </is>
      </c>
      <c r="G219" t="inlineStr">
        <is>
          <t>TÖREBODA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46281</v>
      </c>
      <c r="F220" t="inlineStr">
        <is>
          <t>VÄSTRA GÖTALANDS LÄN</t>
        </is>
      </c>
      <c r="G220" t="inlineStr">
        <is>
          <t>TÖREBODA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44956</v>
      </c>
      <c r="E221" s="1" t="n">
        <v>46281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34436-2022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46281</v>
      </c>
      <c r="F222" t="inlineStr">
        <is>
          <t>VÄSTRA GÖTALANDS LÄN</t>
        </is>
      </c>
      <c r="G222" t="inlineStr">
        <is>
          <t>TÖREBODA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45625</v>
      </c>
      <c r="E223" s="1" t="n">
        <v>46281</v>
      </c>
      <c r="F223" t="inlineStr">
        <is>
          <t>VÄSTRA GÖTALANDS LÄN</t>
        </is>
      </c>
      <c r="G223" t="inlineStr">
        <is>
          <t>TÖREBODA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45324</v>
      </c>
      <c r="E224" s="1" t="n">
        <v>46281</v>
      </c>
      <c r="F224" t="inlineStr">
        <is>
          <t>VÄSTRA GÖTALANDS LÄN</t>
        </is>
      </c>
      <c r="G224" t="inlineStr">
        <is>
          <t>TÖREBODA</t>
        </is>
      </c>
      <c r="I224" t="n">
        <v>28.9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46281</v>
      </c>
      <c r="F225" t="inlineStr">
        <is>
          <t>VÄSTRA GÖTALANDS LÄN</t>
        </is>
      </c>
      <c r="G225" t="inlineStr">
        <is>
          <t>TÖREBODA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46281</v>
      </c>
      <c r="F226" t="inlineStr">
        <is>
          <t>VÄSTRA GÖTALANDS LÄN</t>
        </is>
      </c>
      <c r="G226" t="inlineStr">
        <is>
          <t>TÖREBODA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44741</v>
      </c>
      <c r="E227" s="1" t="n">
        <v>46281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56831-2022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44894</v>
      </c>
      <c r="E228" s="1" t="n">
        <v>46281</v>
      </c>
      <c r="F228" t="inlineStr">
        <is>
          <t>VÄSTRA GÖTALANDS LÄN</t>
        </is>
      </c>
      <c r="G228" t="inlineStr">
        <is>
          <t>TÖREBODA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46281</v>
      </c>
      <c r="F229" t="inlineStr">
        <is>
          <t>VÄSTRA GÖTALANDS LÄN</t>
        </is>
      </c>
      <c r="G229" t="inlineStr">
        <is>
          <t>TÖREBODA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46281</v>
      </c>
      <c r="F230" t="inlineStr">
        <is>
          <t>VÄSTRA GÖTALANDS LÄN</t>
        </is>
      </c>
      <c r="G230" t="inlineStr">
        <is>
          <t>TÖREBODA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46281</v>
      </c>
      <c r="F231" t="inlineStr">
        <is>
          <t>VÄSTRA GÖTALANDS LÄN</t>
        </is>
      </c>
      <c r="G231" t="inlineStr">
        <is>
          <t>TÖREBODA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45556</v>
      </c>
      <c r="E232" s="1" t="n">
        <v>46281</v>
      </c>
      <c r="F232" t="inlineStr">
        <is>
          <t>VÄSTRA GÖTALANDS LÄN</t>
        </is>
      </c>
      <c r="G232" t="inlineStr">
        <is>
          <t>TÖREBODA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46281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Övriga statliga verk och myndigheter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46281</v>
      </c>
      <c r="F234" t="inlineStr">
        <is>
          <t>VÄSTRA GÖTALANDS LÄN</t>
        </is>
      </c>
      <c r="G234" t="inlineStr">
        <is>
          <t>TÖREBODA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46281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45552</v>
      </c>
      <c r="E236" s="1" t="n">
        <v>46281</v>
      </c>
      <c r="F236" t="inlineStr">
        <is>
          <t>VÄSTRA GÖTALANDS LÄN</t>
        </is>
      </c>
      <c r="G236" t="inlineStr">
        <is>
          <t>TÖREBODA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45627</v>
      </c>
      <c r="E237" s="1" t="n">
        <v>46281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46281</v>
      </c>
      <c r="F238" t="inlineStr">
        <is>
          <t>VÄSTRA GÖTALANDS LÄN</t>
        </is>
      </c>
      <c r="G238" t="inlineStr">
        <is>
          <t>TÖREBODA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46281</v>
      </c>
      <c r="F239" t="inlineStr">
        <is>
          <t>VÄSTRA GÖTALANDS LÄN</t>
        </is>
      </c>
      <c r="G239" t="inlineStr">
        <is>
          <t>TÖREBODA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44664</v>
      </c>
      <c r="E240" s="1" t="n">
        <v>46281</v>
      </c>
      <c r="F240" t="inlineStr">
        <is>
          <t>VÄSTRA GÖTALANDS LÄN</t>
        </is>
      </c>
      <c r="G240" t="inlineStr">
        <is>
          <t>TÖREBODA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33522-2026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46248</v>
      </c>
      <c r="E241" s="1" t="n">
        <v>46281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46248</v>
      </c>
      <c r="E242" s="1" t="n">
        <v>46281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46281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45328</v>
      </c>
      <c r="E244" s="1" t="n">
        <v>46281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30200-2026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46281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46281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46281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45750</v>
      </c>
      <c r="E248" s="1" t="n">
        <v>46281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46281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Övriga Aktiebolag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46251</v>
      </c>
      <c r="E250" s="1" t="n">
        <v>46281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46281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10.7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46281</v>
      </c>
      <c r="F252" t="inlineStr">
        <is>
          <t>VÄSTRA GÖTALANDS LÄN</t>
        </is>
      </c>
      <c r="G252" t="inlineStr">
        <is>
          <t>TÖREBODA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46248</v>
      </c>
      <c r="E253" s="1" t="n">
        <v>46281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46281</v>
      </c>
      <c r="F254" t="inlineStr">
        <is>
          <t>VÄSTRA GÖTALANDS LÄN</t>
        </is>
      </c>
      <c r="G254" t="inlineStr">
        <is>
          <t>TÖREBODA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46281</v>
      </c>
      <c r="F255" t="inlineStr">
        <is>
          <t>VÄSTRA GÖTALANDS LÄN</t>
        </is>
      </c>
      <c r="G255" t="inlineStr">
        <is>
          <t>TÖREBODA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54734-2023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45236</v>
      </c>
      <c r="E256" s="1" t="n">
        <v>46281</v>
      </c>
      <c r="F256" t="inlineStr">
        <is>
          <t>VÄSTRA GÖTALANDS LÄN</t>
        </is>
      </c>
      <c r="G256" t="inlineStr">
        <is>
          <t>TÖREBODA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44697</v>
      </c>
      <c r="E257" s="1" t="n">
        <v>46281</v>
      </c>
      <c r="F257" t="inlineStr">
        <is>
          <t>VÄSTRA GÖTALANDS LÄN</t>
        </is>
      </c>
      <c r="G257" t="inlineStr">
        <is>
          <t>TÖREBODA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37837-2023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46281</v>
      </c>
      <c r="F258" t="inlineStr">
        <is>
          <t>VÄSTRA GÖTALANDS LÄN</t>
        </is>
      </c>
      <c r="G258" t="inlineStr">
        <is>
          <t>TÖREBODA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41627-2022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44827</v>
      </c>
      <c r="E259" s="1" t="n">
        <v>46281</v>
      </c>
      <c r="F259" t="inlineStr">
        <is>
          <t>VÄSTRA GÖTALANDS LÄN</t>
        </is>
      </c>
      <c r="G259" t="inlineStr">
        <is>
          <t>TÖREBODA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41632-2022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44827</v>
      </c>
      <c r="E260" s="1" t="n">
        <v>46281</v>
      </c>
      <c r="F260" t="inlineStr">
        <is>
          <t>VÄSTRA GÖTALANDS LÄN</t>
        </is>
      </c>
      <c r="G260" t="inlineStr">
        <is>
          <t>TÖREBODA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35487-2024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46281</v>
      </c>
      <c r="F261" t="inlineStr">
        <is>
          <t>VÄSTRA GÖTALANDS LÄN</t>
        </is>
      </c>
      <c r="G261" t="inlineStr">
        <is>
          <t>TÖREBODA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46251</v>
      </c>
      <c r="E262" s="1" t="n">
        <v>46281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46281</v>
      </c>
      <c r="F263" t="inlineStr">
        <is>
          <t>VÄSTRA GÖTALANDS LÄN</t>
        </is>
      </c>
      <c r="G263" t="inlineStr">
        <is>
          <t>TÖREBODA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45552</v>
      </c>
      <c r="E264" s="1" t="n">
        <v>46281</v>
      </c>
      <c r="F264" t="inlineStr">
        <is>
          <t>VÄSTRA GÖTALANDS LÄN</t>
        </is>
      </c>
      <c r="G264" t="inlineStr">
        <is>
          <t>TÖREBODA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46281</v>
      </c>
      <c r="F265" t="inlineStr">
        <is>
          <t>VÄSTRA GÖTALANDS LÄN</t>
        </is>
      </c>
      <c r="G265" t="inlineStr">
        <is>
          <t>TÖREBODA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46281</v>
      </c>
      <c r="F266" t="inlineStr">
        <is>
          <t>VÄSTRA GÖTALANDS LÄN</t>
        </is>
      </c>
      <c r="G266" t="inlineStr">
        <is>
          <t>TÖREBODA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46281</v>
      </c>
      <c r="F267" t="inlineStr">
        <is>
          <t>VÄSTRA GÖTALANDS LÄN</t>
        </is>
      </c>
      <c r="G267" t="inlineStr">
        <is>
          <t>TÖREBODA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46281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46268</v>
      </c>
      <c r="E269" s="1" t="n">
        <v>46281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46268</v>
      </c>
      <c r="E270" s="1" t="n">
        <v>46281</v>
      </c>
      <c r="F270" t="inlineStr">
        <is>
          <t>VÄSTRA GÖTALANDS LÄN</t>
        </is>
      </c>
      <c r="G270" t="inlineStr">
        <is>
          <t>TÖREBODA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46281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45552</v>
      </c>
      <c r="E272" s="1" t="n">
        <v>46281</v>
      </c>
      <c r="F272" t="inlineStr">
        <is>
          <t>VÄSTRA GÖTALANDS LÄN</t>
        </is>
      </c>
      <c r="G272" t="inlineStr">
        <is>
          <t>TÖREBODA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46268</v>
      </c>
      <c r="E273" s="1" t="n">
        <v>46281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46268</v>
      </c>
      <c r="E274" s="1" t="n">
        <v>46281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46281</v>
      </c>
      <c r="F275" t="inlineStr">
        <is>
          <t>VÄSTRA GÖTALANDS LÄN</t>
        </is>
      </c>
      <c r="G275" t="inlineStr">
        <is>
          <t>TÖREBODA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46281</v>
      </c>
      <c r="F276" t="inlineStr">
        <is>
          <t>VÄSTRA GÖTALANDS LÄN</t>
        </is>
      </c>
      <c r="G276" t="inlineStr">
        <is>
          <t>TÖREBODA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46281</v>
      </c>
      <c r="F277" t="inlineStr">
        <is>
          <t>VÄSTRA GÖTALANDS LÄN</t>
        </is>
      </c>
      <c r="G277" t="inlineStr">
        <is>
          <t>TÖREBODA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45531</v>
      </c>
      <c r="E278" s="1" t="n">
        <v>46281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44907</v>
      </c>
      <c r="E279" s="1" t="n">
        <v>46281</v>
      </c>
      <c r="F279" t="inlineStr">
        <is>
          <t>VÄSTRA GÖTALANDS LÄN</t>
        </is>
      </c>
      <c r="G279" t="inlineStr">
        <is>
          <t>TÖREBODA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46281</v>
      </c>
      <c r="F280" t="inlineStr">
        <is>
          <t>VÄSTRA GÖTALANDS LÄN</t>
        </is>
      </c>
      <c r="G280" t="inlineStr">
        <is>
          <t>TÖREBODA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46231</v>
      </c>
      <c r="E281" s="1" t="n">
        <v>46281</v>
      </c>
      <c r="F281" t="inlineStr">
        <is>
          <t>VÄSTRA GÖTALANDS LÄN</t>
        </is>
      </c>
      <c r="G281" t="inlineStr">
        <is>
          <t>TÖREBODA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46281</v>
      </c>
      <c r="F282" t="inlineStr">
        <is>
          <t>VÄSTRA GÖTALANDS LÄN</t>
        </is>
      </c>
      <c r="G282" t="inlineStr">
        <is>
          <t>TÖREBODA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37453-2026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46275</v>
      </c>
      <c r="E283" s="1" t="n">
        <v>46281</v>
      </c>
      <c r="F283" t="inlineStr">
        <is>
          <t>VÄSTRA GÖTALANDS LÄN</t>
        </is>
      </c>
      <c r="G283" t="inlineStr">
        <is>
          <t>TÖREBODA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46281</v>
      </c>
      <c r="F284" t="inlineStr">
        <is>
          <t>VÄSTRA GÖTALANDS LÄN</t>
        </is>
      </c>
      <c r="G284" t="inlineStr">
        <is>
          <t>TÖREBODA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45777</v>
      </c>
      <c r="E285" s="1" t="n">
        <v>46281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46281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45581</v>
      </c>
      <c r="E287" s="1" t="n">
        <v>46281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11730-2025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45727</v>
      </c>
      <c r="E288" s="1" t="n">
        <v>46281</v>
      </c>
      <c r="F288" t="inlineStr">
        <is>
          <t>VÄSTRA GÖTALANDS LÄN</t>
        </is>
      </c>
      <c r="G288" t="inlineStr">
        <is>
          <t>TÖREBODA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45713</v>
      </c>
      <c r="E289" s="1" t="n">
        <v>46281</v>
      </c>
      <c r="F289" t="inlineStr">
        <is>
          <t>VÄSTRA GÖTALANDS LÄN</t>
        </is>
      </c>
      <c r="G289" t="inlineStr">
        <is>
          <t>TÖREBODA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45730</v>
      </c>
      <c r="E290" s="1" t="n">
        <v>46281</v>
      </c>
      <c r="F290" t="inlineStr">
        <is>
          <t>VÄSTRA GÖTALANDS LÄN</t>
        </is>
      </c>
      <c r="G290" t="inlineStr">
        <is>
          <t>TÖREBODA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46281</v>
      </c>
      <c r="F291" t="inlineStr">
        <is>
          <t>VÄSTRA GÖTALANDS LÄN</t>
        </is>
      </c>
      <c r="G291" t="inlineStr">
        <is>
          <t>TÖREBODA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46281</v>
      </c>
      <c r="F292" t="inlineStr">
        <is>
          <t>VÄSTRA GÖTALANDS LÄN</t>
        </is>
      </c>
      <c r="G292" t="inlineStr">
        <is>
          <t>TÖREBODA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45439</v>
      </c>
      <c r="E293" s="1" t="n">
        <v>46281</v>
      </c>
      <c r="F293" t="inlineStr">
        <is>
          <t>VÄSTRA GÖTALANDS LÄN</t>
        </is>
      </c>
      <c r="G293" t="inlineStr">
        <is>
          <t>TÖREBODA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45394</v>
      </c>
      <c r="E294" s="1" t="n">
        <v>46281</v>
      </c>
      <c r="F294" t="inlineStr">
        <is>
          <t>VÄSTRA GÖTALANDS LÄN</t>
        </is>
      </c>
      <c r="G294" t="inlineStr">
        <is>
          <t>TÖREBODA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46281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Kyrkan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46281</v>
      </c>
      <c r="F296" t="inlineStr">
        <is>
          <t>VÄSTRA GÖTALANDS LÄN</t>
        </is>
      </c>
      <c r="G296" t="inlineStr">
        <is>
          <t>TÖREBODA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45493</v>
      </c>
      <c r="E297" s="1" t="n">
        <v>46281</v>
      </c>
      <c r="F297" t="inlineStr">
        <is>
          <t>VÄSTRA GÖTALANDS LÄN</t>
        </is>
      </c>
      <c r="G297" t="inlineStr">
        <is>
          <t>TÖREBODA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45569</v>
      </c>
      <c r="E298" s="1" t="n">
        <v>46281</v>
      </c>
      <c r="F298" t="inlineStr">
        <is>
          <t>VÄSTRA GÖTALANDS LÄN</t>
        </is>
      </c>
      <c r="G298" t="inlineStr">
        <is>
          <t>TÖREBODA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46281</v>
      </c>
      <c r="F299" t="inlineStr">
        <is>
          <t>VÄSTRA GÖTALANDS LÄN</t>
        </is>
      </c>
      <c r="G299" t="inlineStr">
        <is>
          <t>TÖREBODA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45811</v>
      </c>
      <c r="E300" s="1" t="n">
        <v>46281</v>
      </c>
      <c r="F300" t="inlineStr">
        <is>
          <t>VÄSTRA GÖTALANDS LÄN</t>
        </is>
      </c>
      <c r="G300" t="inlineStr">
        <is>
          <t>TÖREBODA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45569</v>
      </c>
      <c r="E301" s="1" t="n">
        <v>46281</v>
      </c>
      <c r="F301" t="inlineStr">
        <is>
          <t>VÄSTRA GÖTALANDS LÄN</t>
        </is>
      </c>
      <c r="G301" t="inlineStr">
        <is>
          <t>TÖREBODA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45763</v>
      </c>
      <c r="E302" s="1" t="n">
        <v>46281</v>
      </c>
      <c r="F302" t="inlineStr">
        <is>
          <t>VÄSTRA GÖTALANDS LÄN</t>
        </is>
      </c>
      <c r="G302" t="inlineStr">
        <is>
          <t>TÖREBODA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46281</v>
      </c>
      <c r="F303" t="inlineStr">
        <is>
          <t>VÄSTRA GÖTALANDS LÄN</t>
        </is>
      </c>
      <c r="G303" t="inlineStr">
        <is>
          <t>TÖREBODA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46281</v>
      </c>
      <c r="F304" t="inlineStr">
        <is>
          <t>VÄSTRA GÖTALANDS LÄN</t>
        </is>
      </c>
      <c r="G304" t="inlineStr">
        <is>
          <t>TÖREBODA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46281</v>
      </c>
      <c r="F305" t="inlineStr">
        <is>
          <t>VÄSTRA GÖTALANDS LÄN</t>
        </is>
      </c>
      <c r="G305" t="inlineStr">
        <is>
          <t>TÖREBODA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46281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Övriga statliga verk och myndigheter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46281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46281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46281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46281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46281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46281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46281</v>
      </c>
      <c r="F313" t="inlineStr">
        <is>
          <t>VÄSTRA GÖTALANDS LÄN</t>
        </is>
      </c>
      <c r="G313" t="inlineStr">
        <is>
          <t>TÖREBODA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45720</v>
      </c>
      <c r="E314" s="1" t="n">
        <v>46281</v>
      </c>
      <c r="F314" t="inlineStr">
        <is>
          <t>VÄSTRA GÖTALANDS LÄN</t>
        </is>
      </c>
      <c r="G314" t="inlineStr">
        <is>
          <t>TÖREBODA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46281</v>
      </c>
      <c r="F315" t="inlineStr">
        <is>
          <t>VÄSTRA GÖTALANDS LÄN</t>
        </is>
      </c>
      <c r="G315" t="inlineStr">
        <is>
          <t>TÖREBODA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46281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46281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46281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46281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2026-09-16T02:00:21Z</dcterms:created>
  <dcterms:modified xmlns:dcterms="http://purl.org/dc/terms/" xmlns:xsi="http://www.w3.org/2001/XMLSchema-instance" xsi:type="dcterms:W3CDTF">2026-09-16T02:00:21Z</dcterms:modified>
</cp:coreProperties>
</file>