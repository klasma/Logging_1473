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46292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46292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46292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46292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46292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46292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46292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46292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46292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46292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46292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46292</v>
      </c>
      <c r="F13" t="inlineStr">
        <is>
          <t>VÄSTRA GÖTALANDS LÄN</t>
        </is>
      </c>
      <c r="G13" t="inlineStr">
        <is>
          <t>TÖREBODA</t>
        </is>
      </c>
      <c r="I13" t="n">
        <v>3.3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Spillkråka</t>
        </is>
      </c>
      <c r="W13">
        <f>HYPERLINK("https://klasma.github.io/Logging_1473/artfynd/A 39656-2024 artfynd.xlsx", "A 39656-2024")</f>
        <v/>
      </c>
      <c r="X13">
        <f>HYPERLINK("https://klasma.github.io/Logging_1473/kartor/A 39656-2024 karta.png", "A 39656-2024")</f>
        <v/>
      </c>
      <c r="Y13">
        <f>HYPERLINK("https://klasma.github.io/Logging_1473/kartor_geotiff/A 39656-2024 georefererad karta.tif", "A 39656-2024")</f>
        <v/>
      </c>
      <c r="AA13">
        <f>HYPERLINK("https://klasma.github.io/Logging_1473/klagomål/A 39656-2024 FSC-klagomål.docx", "A 39656-2024")</f>
        <v/>
      </c>
      <c r="AB13">
        <f>HYPERLINK("https://klasma.github.io/Logging_1473/klagomålsmail/A 39656-2024 FSC-klagomål mail.docx", "A 39656-2024")</f>
        <v/>
      </c>
      <c r="AC13">
        <f>HYPERLINK("https://klasma.github.io/Logging_1473/tillsyn/A 39656-2024 tillsynsbegäran.docx", "A 39656-2024")</f>
        <v/>
      </c>
      <c r="AD13">
        <f>HYPERLINK("https://klasma.github.io/Logging_1473/tillsynsmail/A 39656-2024 tillsynsbegäran mail.docx", "A 39656-2024")</f>
        <v/>
      </c>
      <c r="AE13">
        <f>HYPERLINK("https://klasma.github.io/Logging_1473/fåglar/A 39656-2024 prioriterade fågelarter.docx", "A 39656-2024")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46292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46292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46292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46292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39659-2024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45552</v>
      </c>
      <c r="E18" s="1" t="n">
        <v>46292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5</v>
      </c>
      <c r="U18" t="n">
        <v>5</v>
      </c>
      <c r="V18" s="2" t="inlineStr">
        <is>
          <t>Slåtterfibbla
Mattlummer</t>
        </is>
      </c>
      <c r="W18">
        <f>HYPERLINK("https://klasma.github.io/Logging_1473/artfynd/A 39659-2024 artfynd.xlsx", "A 39659-2024")</f>
        <v/>
      </c>
      <c r="X18">
        <f>HYPERLINK("https://klasma.github.io/Logging_1473/kartor/A 39659-2024 karta.png", "A 39659-2024")</f>
        <v/>
      </c>
      <c r="Y18">
        <f>HYPERLINK("https://klasma.github.io/Logging_1473/kartor_geotiff/A 39659-2024 georefererad karta.tif", "A 39659-2024")</f>
        <v/>
      </c>
      <c r="AA18">
        <f>HYPERLINK("https://klasma.github.io/Logging_1473/klagomål/A 39659-2024 FSC-klagomål.docx", "A 39659-2024")</f>
        <v/>
      </c>
      <c r="AB18">
        <f>HYPERLINK("https://klasma.github.io/Logging_1473/klagomålsmail/A 39659-2024 FSC-klagomål mail.docx", "A 39659-2024")</f>
        <v/>
      </c>
      <c r="AC18">
        <f>HYPERLINK("https://klasma.github.io/Logging_1473/tillsyn/A 39659-2024 tillsynsbegäran.docx", "A 39659-2024")</f>
        <v/>
      </c>
      <c r="AD18">
        <f>HYPERLINK("https://klasma.github.io/Logging_1473/tillsynsmail/A 39659-2024 tillsynsbegäran mail.docx", "A 39659-2024")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46292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6160-2023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44964</v>
      </c>
      <c r="E20" s="1" t="n">
        <v>46292</v>
      </c>
      <c r="F20" t="inlineStr">
        <is>
          <t>VÄSTRA GÖTALANDS LÄN</t>
        </is>
      </c>
      <c r="G20" t="inlineStr">
        <is>
          <t>TÖREBODA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Havsörn</t>
        </is>
      </c>
      <c r="W20">
        <f>HYPERLINK("https://klasma.github.io/Logging_1473/artfynd/A 6160-2023 artfynd.xlsx", "A 6160-2023")</f>
        <v/>
      </c>
      <c r="X20">
        <f>HYPERLINK("https://klasma.github.io/Logging_1473/kartor/A 6160-2023 karta.png", "A 6160-2023")</f>
        <v/>
      </c>
      <c r="Y20">
        <f>HYPERLINK("https://klasma.github.io/Logging_1473/kartor_geotiff/A 6160-2023 georefererad karta.tif", "A 6160-2023")</f>
        <v/>
      </c>
      <c r="AA20">
        <f>HYPERLINK("https://klasma.github.io/Logging_1473/klagomål/A 6160-2023 FSC-klagomål.docx", "A 6160-2023")</f>
        <v/>
      </c>
      <c r="AB20">
        <f>HYPERLINK("https://klasma.github.io/Logging_1473/klagomålsmail/A 6160-2023 FSC-klagomål mail.docx", "A 6160-2023")</f>
        <v/>
      </c>
      <c r="AC20">
        <f>HYPERLINK("https://klasma.github.io/Logging_1473/tillsyn/A 6160-2023 tillsynsbegäran.docx", "A 6160-2023")</f>
        <v/>
      </c>
      <c r="AD20">
        <f>HYPERLINK("https://klasma.github.io/Logging_1473/tillsynsmail/A 6160-2023 tillsynsbegäran mail.docx", "A 6160-2023")</f>
        <v/>
      </c>
      <c r="AE20">
        <f>HYPERLINK("https://klasma.github.io/Logging_1473/fåglar/A 6160-2023 prioriterade fågelarter.docx", "A 6160-2023")</f>
        <v/>
      </c>
    </row>
    <row r="21" ht="15" customHeight="1">
      <c r="A21" t="inlineStr">
        <is>
          <t>A 8266-2022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46292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Sveaskog</t>
        </is>
      </c>
      <c r="I21" t="n">
        <v>0.5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Dofttaggsvamp</t>
        </is>
      </c>
      <c r="W21">
        <f>HYPERLINK("https://klasma.github.io/Logging_1473/artfynd/A 8266-2022 artfynd.xlsx", "A 8266-2022")</f>
        <v/>
      </c>
      <c r="X21">
        <f>HYPERLINK("https://klasma.github.io/Logging_1473/kartor/A 8266-2022 karta.png", "A 8266-2022")</f>
        <v/>
      </c>
      <c r="Y21">
        <f>HYPERLINK("https://klasma.github.io/Logging_1473/kartor_geotiff/A 8266-2022 georefererad karta.tif", "A 8266-2022")</f>
        <v/>
      </c>
      <c r="AA21">
        <f>HYPERLINK("https://klasma.github.io/Logging_1473/klagomål/A 8266-2022 FSC-klagomål.docx", "A 8266-2022")</f>
        <v/>
      </c>
      <c r="AB21">
        <f>HYPERLINK("https://klasma.github.io/Logging_1473/klagomålsmail/A 8266-2022 FSC-klagomål mail.docx", "A 8266-2022")</f>
        <v/>
      </c>
      <c r="AC21">
        <f>HYPERLINK("https://klasma.github.io/Logging_1473/tillsyn/A 8266-2022 tillsynsbegäran.docx", "A 8266-2022")</f>
        <v/>
      </c>
      <c r="AD21">
        <f>HYPERLINK("https://klasma.github.io/Logging_1473/tillsynsmail/A 8266-2022 tillsynsbegäran mail.docx", "A 8266-2022")</f>
        <v/>
      </c>
    </row>
    <row r="22" ht="15" customHeight="1">
      <c r="A22" t="inlineStr">
        <is>
          <t>A 49169-2025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45938</v>
      </c>
      <c r="E22" s="1" t="n">
        <v>46292</v>
      </c>
      <c r="F22" t="inlineStr">
        <is>
          <t>VÄSTRA GÖTALANDS LÄN</t>
        </is>
      </c>
      <c r="G22" t="inlineStr">
        <is>
          <t>TÖREBODA</t>
        </is>
      </c>
      <c r="I22" t="n">
        <v>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Havsörn</t>
        </is>
      </c>
      <c r="W22">
        <f>HYPERLINK("https://klasma.github.io/Logging_1473/artfynd/A 49169-2025 artfynd.xlsx", "A 49169-2025")</f>
        <v/>
      </c>
      <c r="X22">
        <f>HYPERLINK("https://klasma.github.io/Logging_1473/kartor/A 49169-2025 karta.png", "A 49169-2025")</f>
        <v/>
      </c>
      <c r="Y22">
        <f>HYPERLINK("https://klasma.github.io/Logging_1473/kartor_geotiff/A 49169-2025 georefererad karta.tif", "A 49169-2025")</f>
        <v/>
      </c>
      <c r="AA22">
        <f>HYPERLINK("https://klasma.github.io/Logging_1473/klagomål/A 49169-2025 FSC-klagomål.docx", "A 49169-2025")</f>
        <v/>
      </c>
      <c r="AB22">
        <f>HYPERLINK("https://klasma.github.io/Logging_1473/klagomålsmail/A 49169-2025 FSC-klagomål mail.docx", "A 49169-2025")</f>
        <v/>
      </c>
      <c r="AC22">
        <f>HYPERLINK("https://klasma.github.io/Logging_1473/tillsyn/A 49169-2025 tillsynsbegäran.docx", "A 49169-2025")</f>
        <v/>
      </c>
      <c r="AD22">
        <f>HYPERLINK("https://klasma.github.io/Logging_1473/tillsynsmail/A 49169-2025 tillsynsbegäran mail.docx", "A 49169-2025")</f>
        <v/>
      </c>
      <c r="AE22">
        <f>HYPERLINK("https://klasma.github.io/Logging_1473/fåglar/A 49169-2025 prioriterade fågelarter.docx", "A 49169-2025")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46292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46292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46292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46292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58097-2024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46292</v>
      </c>
      <c r="F27" t="inlineStr">
        <is>
          <t>VÄSTRA GÖTALANDS LÄN</t>
        </is>
      </c>
      <c r="G27" t="inlineStr">
        <is>
          <t>TÖREBODA</t>
        </is>
      </c>
      <c r="I27" t="n">
        <v>8.6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Vattenfladdermus</t>
        </is>
      </c>
      <c r="W27">
        <f>HYPERLINK("https://klasma.github.io/Logging_1473/artfynd/A 58097-2024 artfynd.xlsx", "A 58097-2024")</f>
        <v/>
      </c>
      <c r="X27">
        <f>HYPERLINK("https://klasma.github.io/Logging_1473/kartor/A 58097-2024 karta.png", "A 58097-2024")</f>
        <v/>
      </c>
      <c r="Y27">
        <f>HYPERLINK("https://klasma.github.io/Logging_1473/kartor_geotiff/A 58097-2024 georefererad karta.tif", "A 58097-2024")</f>
        <v/>
      </c>
      <c r="AA27">
        <f>HYPERLINK("https://klasma.github.io/Logging_1473/klagomål/A 58097-2024 FSC-klagomål.docx", "A 58097-2024")</f>
        <v/>
      </c>
      <c r="AB27">
        <f>HYPERLINK("https://klasma.github.io/Logging_1473/klagomålsmail/A 58097-2024 FSC-klagomål mail.docx", "A 58097-2024")</f>
        <v/>
      </c>
      <c r="AC27">
        <f>HYPERLINK("https://klasma.github.io/Logging_1473/tillsyn/A 58097-2024 tillsynsbegäran.docx", "A 58097-2024")</f>
        <v/>
      </c>
      <c r="AD27">
        <f>HYPERLINK("https://klasma.github.io/Logging_1473/tillsynsmail/A 58097-2024 tillsynsbegäran mail.docx", "A 58097-2024")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46292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55174-2024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45621</v>
      </c>
      <c r="E29" s="1" t="n">
        <v>46292</v>
      </c>
      <c r="F29" t="inlineStr">
        <is>
          <t>VÄSTRA GÖTALANDS LÄN</t>
        </is>
      </c>
      <c r="G29" t="inlineStr">
        <is>
          <t>TÖREBODA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Västlig hakmossa</t>
        </is>
      </c>
      <c r="W29">
        <f>HYPERLINK("https://klasma.github.io/Logging_1473/artfynd/A 55174-2024 artfynd.xlsx", "A 55174-2024")</f>
        <v/>
      </c>
      <c r="X29">
        <f>HYPERLINK("https://klasma.github.io/Logging_1473/kartor/A 55174-2024 karta.png", "A 55174-2024")</f>
        <v/>
      </c>
      <c r="Y29">
        <f>HYPERLINK("https://klasma.github.io/Logging_1473/kartor_geotiff/A 55174-2024 georefererad karta.tif", "A 55174-2024")</f>
        <v/>
      </c>
      <c r="AA29">
        <f>HYPERLINK("https://klasma.github.io/Logging_1473/klagomål/A 55174-2024 FSC-klagomål.docx", "A 55174-2024")</f>
        <v/>
      </c>
      <c r="AB29">
        <f>HYPERLINK("https://klasma.github.io/Logging_1473/klagomålsmail/A 55174-2024 FSC-klagomål mail.docx", "A 55174-2024")</f>
        <v/>
      </c>
      <c r="AC29">
        <f>HYPERLINK("https://klasma.github.io/Logging_1473/tillsyn/A 55174-2024 tillsynsbegäran.docx", "A 55174-2024")</f>
        <v/>
      </c>
      <c r="AD29">
        <f>HYPERLINK("https://klasma.github.io/Logging_1473/tillsynsmail/A 55174-2024 tillsynsbegäran mail.docx", "A 55174-2024")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46292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39894-2023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46292</v>
      </c>
      <c r="F31" t="inlineStr">
        <is>
          <t>VÄSTRA GÖTALANDS LÄN</t>
        </is>
      </c>
      <c r="G31" t="inlineStr">
        <is>
          <t>TÖREBODA</t>
        </is>
      </c>
      <c r="I31" t="n">
        <v>2.4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Nattskärra</t>
        </is>
      </c>
      <c r="W31">
        <f>HYPERLINK("https://klasma.github.io/Logging_1473/artfynd/A 39894-2023 artfynd.xlsx", "A 39894-2023")</f>
        <v/>
      </c>
      <c r="X31">
        <f>HYPERLINK("https://klasma.github.io/Logging_1473/kartor/A 39894-2023 karta.png", "A 39894-2023")</f>
        <v/>
      </c>
      <c r="Y31">
        <f>HYPERLINK("https://klasma.github.io/Logging_1473/kartor_geotiff/A 39894-2023 georefererad karta.tif", "A 39894-2023")</f>
        <v/>
      </c>
      <c r="AA31">
        <f>HYPERLINK("https://klasma.github.io/Logging_1473/klagomål/A 39894-2023 FSC-klagomål.docx", "A 39894-2023")</f>
        <v/>
      </c>
      <c r="AB31">
        <f>HYPERLINK("https://klasma.github.io/Logging_1473/klagomålsmail/A 39894-2023 FSC-klagomål mail.docx", "A 39894-2023")</f>
        <v/>
      </c>
      <c r="AC31">
        <f>HYPERLINK("https://klasma.github.io/Logging_1473/tillsyn/A 39894-2023 tillsynsbegäran.docx", "A 39894-2023")</f>
        <v/>
      </c>
      <c r="AD31">
        <f>HYPERLINK("https://klasma.github.io/Logging_1473/tillsynsmail/A 39894-2023 tillsynsbegäran mail.docx", "A 39894-2023")</f>
        <v/>
      </c>
      <c r="AE31">
        <f>HYPERLINK("https://klasma.github.io/Logging_1473/fåglar/A 39894-2023 prioriterade fågelarter.docx", "A 39894-2023")</f>
        <v/>
      </c>
    </row>
    <row r="32" ht="15" customHeight="1">
      <c r="A32" t="inlineStr">
        <is>
          <t>A 37240-2026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46274</v>
      </c>
      <c r="E32" s="1" t="n">
        <v>46292</v>
      </c>
      <c r="F32" t="inlineStr">
        <is>
          <t>VÄSTRA GÖTALANDS LÄN</t>
        </is>
      </c>
      <c r="G32" t="inlineStr">
        <is>
          <t>TÖREBODA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HYPERLINK("https://klasma.github.io/Logging_1473/artfynd/A 37240-2026 artfynd.xlsx", "A 37240-2026")</f>
        <v/>
      </c>
      <c r="X32">
        <f>HYPERLINK("https://klasma.github.io/Logging_1473/kartor/A 37240-2026 karta.png", "A 37240-2026")</f>
        <v/>
      </c>
      <c r="Y32">
        <f>HYPERLINK("https://klasma.github.io/Logging_1473/kartor_geotiff/A 37240-2026 georefererad karta.tif", "A 37240-2026")</f>
        <v/>
      </c>
      <c r="AA32">
        <f>HYPERLINK("https://klasma.github.io/Logging_1473/klagomål/A 37240-2026 FSC-klagomål.docx", "A 37240-2026")</f>
        <v/>
      </c>
      <c r="AB32">
        <f>HYPERLINK("https://klasma.github.io/Logging_1473/klagomålsmail/A 37240-2026 FSC-klagomål mail.docx", "A 37240-2026")</f>
        <v/>
      </c>
      <c r="AC32">
        <f>HYPERLINK("https://klasma.github.io/Logging_1473/tillsyn/A 37240-2026 tillsynsbegäran.docx", "A 37240-2026")</f>
        <v/>
      </c>
      <c r="AD32">
        <f>HYPERLINK("https://klasma.github.io/Logging_1473/tillsynsmail/A 37240-2026 tillsynsbegäran mail.docx", "A 37240-2026")</f>
        <v/>
      </c>
    </row>
    <row r="33" ht="15" customHeight="1">
      <c r="A33" t="inlineStr">
        <is>
          <t>A 12168-2025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45729</v>
      </c>
      <c r="E33" s="1" t="n">
        <v>46292</v>
      </c>
      <c r="F33" t="inlineStr">
        <is>
          <t>VÄSTRA GÖTALANDS LÄN</t>
        </is>
      </c>
      <c r="G33" t="inlineStr">
        <is>
          <t>TÖREBODA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HYPERLINK("https://klasma.github.io/Logging_1473/artfynd/A 12168-2025 artfynd.xlsx", "A 12168-2025")</f>
        <v/>
      </c>
      <c r="X33">
        <f>HYPERLINK("https://klasma.github.io/Logging_1473/kartor/A 12168-2025 karta.png", "A 12168-2025")</f>
        <v/>
      </c>
      <c r="Y33">
        <f>HYPERLINK("https://klasma.github.io/Logging_1473/kartor_geotiff/A 12168-2025 georefererad karta.tif", "A 12168-2025")</f>
        <v/>
      </c>
      <c r="AA33">
        <f>HYPERLINK("https://klasma.github.io/Logging_1473/klagomål/A 12168-2025 FSC-klagomål.docx", "A 12168-2025")</f>
        <v/>
      </c>
      <c r="AB33">
        <f>HYPERLINK("https://klasma.github.io/Logging_1473/klagomålsmail/A 12168-2025 FSC-klagomål mail.docx", "A 12168-2025")</f>
        <v/>
      </c>
      <c r="AC33">
        <f>HYPERLINK("https://klasma.github.io/Logging_1473/tillsyn/A 12168-2025 tillsynsbegäran.docx", "A 12168-2025")</f>
        <v/>
      </c>
      <c r="AD33">
        <f>HYPERLINK("https://klasma.github.io/Logging_1473/tillsynsmail/A 12168-2025 tillsynsbegäran mail.docx", "A 12168-2025")</f>
        <v/>
      </c>
      <c r="AE33">
        <f>HYPERLINK("https://klasma.github.io/Logging_1473/fåglar/A 12168-2025 prioriterade fågelarter.docx", "A 12168-2025")</f>
        <v/>
      </c>
    </row>
    <row r="34" ht="15" customHeight="1">
      <c r="A34" t="inlineStr">
        <is>
          <t>S 2401-2022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44690</v>
      </c>
      <c r="E34" s="1" t="n">
        <v>46292</v>
      </c>
      <c r="F34" t="inlineStr">
        <is>
          <t>VÄSTRA GÖTALANDS LÄN</t>
        </is>
      </c>
      <c r="G34" t="inlineStr">
        <is>
          <t>TÖREBODA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4</v>
      </c>
      <c r="U34" t="n">
        <v>0</v>
      </c>
      <c r="V34" s="2" t="inlineStr">
        <is>
          <t>Ask</t>
        </is>
      </c>
      <c r="W34">
        <f>HYPERLINK("https://klasma.github.io/Logging_1473/artfynd/S 2401-2022 artfynd.xlsx", "S 2401-2022")</f>
        <v/>
      </c>
      <c r="X34">
        <f>HYPERLINK("https://klasma.github.io/Logging_1473/kartor/S 2401-2022 karta.png", "S 2401-2022")</f>
        <v/>
      </c>
      <c r="Y34">
        <f>HYPERLINK("https://klasma.github.io/Logging_1473/kartor_geotiff/S 2401-2022 georefererad karta.tif", "S 2401-2022")</f>
        <v/>
      </c>
      <c r="AA34">
        <f>HYPERLINK("https://klasma.github.io/Logging_1473/klagomål/S 2401-2022 FSC-klagomål.docx", "S 2401-2022")</f>
        <v/>
      </c>
      <c r="AB34">
        <f>HYPERLINK("https://klasma.github.io/Logging_1473/klagomålsmail/S 2401-2022 FSC-klagomål mail.docx", "S 2401-2022")</f>
        <v/>
      </c>
      <c r="AC34">
        <f>HYPERLINK("https://klasma.github.io/Logging_1473/tillsyn/S 2401-2022 tillsynsbegäran.docx", "S 2401-2022")</f>
        <v/>
      </c>
      <c r="AD34">
        <f>HYPERLINK("https://klasma.github.io/Logging_1473/tillsynsmail/S 2401-2022 tillsynsbegäran mail.docx", "S 2401-2022")</f>
        <v/>
      </c>
    </row>
    <row r="35" ht="15" customHeight="1">
      <c r="A35" t="inlineStr">
        <is>
          <t>S 812-2023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44986</v>
      </c>
      <c r="E35" s="1" t="n">
        <v>46292</v>
      </c>
      <c r="F35" t="inlineStr">
        <is>
          <t>VÄSTRA GÖTALANDS LÄN</t>
        </is>
      </c>
      <c r="G35" t="inlineStr">
        <is>
          <t>TÖREBODA</t>
        </is>
      </c>
      <c r="H35" t="inlineStr">
        <is>
          <t>Kyrkan</t>
        </is>
      </c>
      <c r="I35" t="n">
        <v>52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HYPERLINK("https://klasma.github.io/Logging_1473/artfynd/S 812-2023 artfynd.xlsx", "S 812-2023")</f>
        <v/>
      </c>
      <c r="X35">
        <f>HYPERLINK("https://klasma.github.io/Logging_1473/kartor/S 812-2023 karta.png", "S 812-2023")</f>
        <v/>
      </c>
      <c r="Y35">
        <f>HYPERLINK("https://klasma.github.io/Logging_1473/kartor_geotiff/S 812-2023 georefererad karta.tif", "S 812-2023")</f>
        <v/>
      </c>
      <c r="AA35">
        <f>HYPERLINK("https://klasma.github.io/Logging_1473/klagomål/S 812-2023 FSC-klagomål.docx", "S 812-2023")</f>
        <v/>
      </c>
      <c r="AB35">
        <f>HYPERLINK("https://klasma.github.io/Logging_1473/klagomålsmail/S 812-2023 FSC-klagomål mail.docx", "S 812-2023")</f>
        <v/>
      </c>
      <c r="AC35">
        <f>HYPERLINK("https://klasma.github.io/Logging_1473/tillsyn/S 812-2023 tillsynsbegäran.docx", "S 812-2023")</f>
        <v/>
      </c>
      <c r="AD35">
        <f>HYPERLINK("https://klasma.github.io/Logging_1473/tillsynsmail/S 812-2023 tillsynsbegäran mail.docx", "S 812-2023")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46292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46292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46292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46292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46292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46292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46292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46292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46292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46292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46292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46292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46292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46292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46292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46292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46292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46292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46292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46292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46292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46292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46292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46292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46292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46292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46292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46292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46292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46292</v>
      </c>
      <c r="F65" t="inlineStr">
        <is>
          <t>VÄSTRA GÖTALANDS LÄN</t>
        </is>
      </c>
      <c r="G65" t="inlineStr">
        <is>
          <t>TÖREBODA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46292</v>
      </c>
      <c r="F66" t="inlineStr">
        <is>
          <t>VÄSTRA GÖTALANDS LÄN</t>
        </is>
      </c>
      <c r="G66" t="inlineStr">
        <is>
          <t>TÖREBODA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44860</v>
      </c>
      <c r="E67" s="1" t="n">
        <v>46292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Sveaskog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11683-2024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45373</v>
      </c>
      <c r="E68" s="1" t="n">
        <v>46292</v>
      </c>
      <c r="F68" t="inlineStr">
        <is>
          <t>VÄSTRA GÖTALANDS LÄN</t>
        </is>
      </c>
      <c r="G68" t="inlineStr">
        <is>
          <t>TÖREBODA</t>
        </is>
      </c>
      <c r="I68" t="n">
        <v>23.8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24544-2024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45460</v>
      </c>
      <c r="E69" s="1" t="n">
        <v>46292</v>
      </c>
      <c r="F69" t="inlineStr">
        <is>
          <t>VÄSTRA GÖTALANDS LÄN</t>
        </is>
      </c>
      <c r="G69" t="inlineStr">
        <is>
          <t>TÖREBODA</t>
        </is>
      </c>
      <c r="I69" t="n">
        <v>7.3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11680-2024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45373</v>
      </c>
      <c r="E70" s="1" t="n">
        <v>46292</v>
      </c>
      <c r="F70" t="inlineStr">
        <is>
          <t>VÄSTRA GÖTALANDS LÄN</t>
        </is>
      </c>
      <c r="G70" t="inlineStr">
        <is>
          <t>TÖREBODA</t>
        </is>
      </c>
      <c r="I70" t="n">
        <v>12.3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46292</v>
      </c>
      <c r="F71" t="inlineStr">
        <is>
          <t>VÄSTRA GÖTALANDS LÄN</t>
        </is>
      </c>
      <c r="G71" t="inlineStr">
        <is>
          <t>TÖREBODA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10185-2023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44986</v>
      </c>
      <c r="E72" s="1" t="n">
        <v>46292</v>
      </c>
      <c r="F72" t="inlineStr">
        <is>
          <t>VÄSTRA GÖTALANDS LÄN</t>
        </is>
      </c>
      <c r="G72" t="inlineStr">
        <is>
          <t>TÖREBODA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24363-2024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46292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Övriga statliga verk och myndigheter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44868</v>
      </c>
      <c r="E74" s="1" t="n">
        <v>46292</v>
      </c>
      <c r="F74" t="inlineStr">
        <is>
          <t>VÄSTRA GÖTALANDS LÄN</t>
        </is>
      </c>
      <c r="G74" t="inlineStr">
        <is>
          <t>TÖREBODA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58755-2022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46292</v>
      </c>
      <c r="F75" t="inlineStr">
        <is>
          <t>VÄSTRA GÖTALANDS LÄN</t>
        </is>
      </c>
      <c r="G75" t="inlineStr">
        <is>
          <t>TÖREBODA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46292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45631</v>
      </c>
      <c r="E77" s="1" t="n">
        <v>46292</v>
      </c>
      <c r="F77" t="inlineStr">
        <is>
          <t>VÄSTRA GÖTALANDS LÄN</t>
        </is>
      </c>
      <c r="G77" t="inlineStr">
        <is>
          <t>TÖREBODA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48734-2024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45593</v>
      </c>
      <c r="E78" s="1" t="n">
        <v>46292</v>
      </c>
      <c r="F78" t="inlineStr">
        <is>
          <t>VÄSTRA GÖTALANDS LÄN</t>
        </is>
      </c>
      <c r="G78" t="inlineStr">
        <is>
          <t>TÖREBODA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64799-2023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46292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46292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21014-2024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45439</v>
      </c>
      <c r="E81" s="1" t="n">
        <v>46292</v>
      </c>
      <c r="F81" t="inlineStr">
        <is>
          <t>VÄSTRA GÖTALANDS LÄN</t>
        </is>
      </c>
      <c r="G81" t="inlineStr">
        <is>
          <t>TÖREBODA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14505-2024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46292</v>
      </c>
      <c r="F82" t="inlineStr">
        <is>
          <t>VÄSTRA GÖTALANDS LÄN</t>
        </is>
      </c>
      <c r="G82" t="inlineStr">
        <is>
          <t>TÖREBODA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45763</v>
      </c>
      <c r="E83" s="1" t="n">
        <v>46292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Kyrkan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45209</v>
      </c>
      <c r="E84" s="1" t="n">
        <v>46292</v>
      </c>
      <c r="F84" t="inlineStr">
        <is>
          <t>VÄSTRA GÖTALANDS LÄN</t>
        </is>
      </c>
      <c r="G84" t="inlineStr">
        <is>
          <t>TÖREBODA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45493</v>
      </c>
      <c r="E85" s="1" t="n">
        <v>46292</v>
      </c>
      <c r="F85" t="inlineStr">
        <is>
          <t>VÄSTRA GÖTALANDS LÄN</t>
        </is>
      </c>
      <c r="G85" t="inlineStr">
        <is>
          <t>TÖREBODA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46292</v>
      </c>
      <c r="F86" t="inlineStr">
        <is>
          <t>VÄSTRA GÖTALANDS LÄN</t>
        </is>
      </c>
      <c r="G86" t="inlineStr">
        <is>
          <t>TÖREBODA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45341</v>
      </c>
      <c r="E87" s="1" t="n">
        <v>46292</v>
      </c>
      <c r="F87" t="inlineStr">
        <is>
          <t>VÄSTRA GÖTALANDS LÄN</t>
        </is>
      </c>
      <c r="G87" t="inlineStr">
        <is>
          <t>TÖREBODA</t>
        </is>
      </c>
      <c r="I87" t="n">
        <v>5.3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45642</v>
      </c>
      <c r="E88" s="1" t="n">
        <v>46292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46292</v>
      </c>
      <c r="F89" t="inlineStr">
        <is>
          <t>VÄSTRA GÖTALANDS LÄN</t>
        </is>
      </c>
      <c r="G89" t="inlineStr">
        <is>
          <t>TÖREBODA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38706-2025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45885</v>
      </c>
      <c r="E90" s="1" t="n">
        <v>46292</v>
      </c>
      <c r="F90" t="inlineStr">
        <is>
          <t>VÄSTRA GÖTALANDS LÄN</t>
        </is>
      </c>
      <c r="G90" t="inlineStr">
        <is>
          <t>TÖREBODA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45888</v>
      </c>
      <c r="E91" s="1" t="n">
        <v>46292</v>
      </c>
      <c r="F91" t="inlineStr">
        <is>
          <t>VÄSTRA GÖTALANDS LÄN</t>
        </is>
      </c>
      <c r="G91" t="inlineStr">
        <is>
          <t>TÖREBODA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29023-2024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45481</v>
      </c>
      <c r="E92" s="1" t="n">
        <v>46292</v>
      </c>
      <c r="F92" t="inlineStr">
        <is>
          <t>VÄSTRA GÖTALANDS LÄN</t>
        </is>
      </c>
      <c r="G92" t="inlineStr">
        <is>
          <t>TÖREBODA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45885</v>
      </c>
      <c r="E93" s="1" t="n">
        <v>46292</v>
      </c>
      <c r="F93" t="inlineStr">
        <is>
          <t>VÄSTRA GÖTALANDS LÄN</t>
        </is>
      </c>
      <c r="G93" t="inlineStr">
        <is>
          <t>TÖREBODA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17360-2024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45414</v>
      </c>
      <c r="E94" s="1" t="n">
        <v>46292</v>
      </c>
      <c r="F94" t="inlineStr">
        <is>
          <t>VÄSTRA GÖTALANDS LÄN</t>
        </is>
      </c>
      <c r="G94" t="inlineStr">
        <is>
          <t>TÖREBODA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46292</v>
      </c>
      <c r="F95" t="inlineStr">
        <is>
          <t>VÄSTRA GÖTALANDS LÄN</t>
        </is>
      </c>
      <c r="G95" t="inlineStr">
        <is>
          <t>TÖREBODA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44907</v>
      </c>
      <c r="E96" s="1" t="n">
        <v>46292</v>
      </c>
      <c r="F96" t="inlineStr">
        <is>
          <t>VÄSTRA GÖTALANDS LÄN</t>
        </is>
      </c>
      <c r="G96" t="inlineStr">
        <is>
          <t>TÖREBODA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44900</v>
      </c>
      <c r="E97" s="1" t="n">
        <v>46292</v>
      </c>
      <c r="F97" t="inlineStr">
        <is>
          <t>VÄSTRA GÖTALANDS LÄN</t>
        </is>
      </c>
      <c r="G97" t="inlineStr">
        <is>
          <t>TÖREBODA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46292</v>
      </c>
      <c r="F98" t="inlineStr">
        <is>
          <t>VÄSTRA GÖTALANDS LÄN</t>
        </is>
      </c>
      <c r="G98" t="inlineStr">
        <is>
          <t>TÖREBODA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10598-2023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44988</v>
      </c>
      <c r="E99" s="1" t="n">
        <v>46292</v>
      </c>
      <c r="F99" t="inlineStr">
        <is>
          <t>VÄSTRA GÖTALANDS LÄN</t>
        </is>
      </c>
      <c r="G99" t="inlineStr">
        <is>
          <t>TÖREBODA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58013-2022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46292</v>
      </c>
      <c r="F100" t="inlineStr">
        <is>
          <t>VÄSTRA GÖTALANDS LÄN</t>
        </is>
      </c>
      <c r="G100" t="inlineStr">
        <is>
          <t>TÖREBODA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46292</v>
      </c>
      <c r="F101" t="inlineStr">
        <is>
          <t>VÄSTRA GÖTALANDS LÄN</t>
        </is>
      </c>
      <c r="G101" t="inlineStr">
        <is>
          <t>TÖREBODA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45684</v>
      </c>
      <c r="E102" s="1" t="n">
        <v>46292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46292</v>
      </c>
      <c r="F103" t="inlineStr">
        <is>
          <t>VÄSTRA GÖTALANDS LÄN</t>
        </is>
      </c>
      <c r="G103" t="inlineStr">
        <is>
          <t>TÖREBODA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46057</v>
      </c>
      <c r="E104" s="1" t="n">
        <v>46292</v>
      </c>
      <c r="F104" t="inlineStr">
        <is>
          <t>VÄSTRA GÖTALANDS LÄN</t>
        </is>
      </c>
      <c r="G104" t="inlineStr">
        <is>
          <t>TÖREBODA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46292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44074-2025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45915</v>
      </c>
      <c r="E106" s="1" t="n">
        <v>46292</v>
      </c>
      <c r="F106" t="inlineStr">
        <is>
          <t>VÄSTRA GÖTALANDS LÄN</t>
        </is>
      </c>
      <c r="G106" t="inlineStr">
        <is>
          <t>TÖREBODA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7860-2026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46062</v>
      </c>
      <c r="E107" s="1" t="n">
        <v>46292</v>
      </c>
      <c r="F107" t="inlineStr">
        <is>
          <t>VÄSTRA GÖTALANDS LÄN</t>
        </is>
      </c>
      <c r="G107" t="inlineStr">
        <is>
          <t>TÖREBODA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45919</v>
      </c>
      <c r="E108" s="1" t="n">
        <v>46292</v>
      </c>
      <c r="F108" t="inlineStr">
        <is>
          <t>VÄSTRA GÖTALANDS LÄN</t>
        </is>
      </c>
      <c r="G108" t="inlineStr">
        <is>
          <t>TÖREBODA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45127</v>
      </c>
      <c r="E109" s="1" t="n">
        <v>46292</v>
      </c>
      <c r="F109" t="inlineStr">
        <is>
          <t>VÄSTRA GÖTALANDS LÄN</t>
        </is>
      </c>
      <c r="G109" t="inlineStr">
        <is>
          <t>TÖREBODA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46292</v>
      </c>
      <c r="F110" t="inlineStr">
        <is>
          <t>VÄSTRA GÖTALANDS LÄN</t>
        </is>
      </c>
      <c r="G110" t="inlineStr">
        <is>
          <t>TÖREBODA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46292</v>
      </c>
      <c r="F111" t="inlineStr">
        <is>
          <t>VÄSTRA GÖTALANDS LÄN</t>
        </is>
      </c>
      <c r="G111" t="inlineStr">
        <is>
          <t>TÖREBODA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35438-2024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45531</v>
      </c>
      <c r="E112" s="1" t="n">
        <v>46292</v>
      </c>
      <c r="F112" t="inlineStr">
        <is>
          <t>VÄSTRA GÖTALANDS LÄN</t>
        </is>
      </c>
      <c r="G112" t="inlineStr">
        <is>
          <t>TÖREBODA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28044-2023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45099</v>
      </c>
      <c r="E113" s="1" t="n">
        <v>46292</v>
      </c>
      <c r="F113" t="inlineStr">
        <is>
          <t>VÄSTRA GÖTALANDS LÄN</t>
        </is>
      </c>
      <c r="G113" t="inlineStr">
        <is>
          <t>TÖREBODA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46078</v>
      </c>
      <c r="E114" s="1" t="n">
        <v>46292</v>
      </c>
      <c r="F114" t="inlineStr">
        <is>
          <t>VÄSTRA GÖTALANDS LÄN</t>
        </is>
      </c>
      <c r="G114" t="inlineStr">
        <is>
          <t>TÖREBODA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46972-2025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45929</v>
      </c>
      <c r="E115" s="1" t="n">
        <v>46292</v>
      </c>
      <c r="F115" t="inlineStr">
        <is>
          <t>VÄSTRA GÖTALANDS LÄN</t>
        </is>
      </c>
      <c r="G115" t="inlineStr">
        <is>
          <t>TÖREBODA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15086-2024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45399</v>
      </c>
      <c r="E116" s="1" t="n">
        <v>46292</v>
      </c>
      <c r="F116" t="inlineStr">
        <is>
          <t>VÄSTRA GÖTALANDS LÄN</t>
        </is>
      </c>
      <c r="G116" t="inlineStr">
        <is>
          <t>TÖREBODA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45051</v>
      </c>
      <c r="E117" s="1" t="n">
        <v>46292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46292</v>
      </c>
      <c r="F118" t="inlineStr">
        <is>
          <t>VÄSTRA GÖTALANDS LÄN</t>
        </is>
      </c>
      <c r="G118" t="inlineStr">
        <is>
          <t>TÖREBODA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46085</v>
      </c>
      <c r="E119" s="1" t="n">
        <v>46292</v>
      </c>
      <c r="F119" t="inlineStr">
        <is>
          <t>VÄSTRA GÖTALANDS LÄN</t>
        </is>
      </c>
      <c r="G119" t="inlineStr">
        <is>
          <t>TÖREBODA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49177-2025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45938</v>
      </c>
      <c r="E120" s="1" t="n">
        <v>46292</v>
      </c>
      <c r="F120" t="inlineStr">
        <is>
          <t>VÄSTRA GÖTALANDS LÄN</t>
        </is>
      </c>
      <c r="G120" t="inlineStr">
        <is>
          <t>TÖREBODA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49171-2025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45938</v>
      </c>
      <c r="E121" s="1" t="n">
        <v>46292</v>
      </c>
      <c r="F121" t="inlineStr">
        <is>
          <t>VÄSTRA GÖTALANDS LÄN</t>
        </is>
      </c>
      <c r="G121" t="inlineStr">
        <is>
          <t>TÖREBODA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49085-2025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45937</v>
      </c>
      <c r="E122" s="1" t="n">
        <v>46292</v>
      </c>
      <c r="F122" t="inlineStr">
        <is>
          <t>VÄSTRA GÖTALANDS LÄN</t>
        </is>
      </c>
      <c r="G122" t="inlineStr">
        <is>
          <t>TÖREBODA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45937</v>
      </c>
      <c r="E123" s="1" t="n">
        <v>46292</v>
      </c>
      <c r="F123" t="inlineStr">
        <is>
          <t>VÄSTRA GÖTALANDS LÄN</t>
        </is>
      </c>
      <c r="G123" t="inlineStr">
        <is>
          <t>TÖREBODA</t>
        </is>
      </c>
      <c r="H123" t="inlineStr">
        <is>
          <t>Sveaskog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62359-2022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44923</v>
      </c>
      <c r="E124" s="1" t="n">
        <v>46292</v>
      </c>
      <c r="F124" t="inlineStr">
        <is>
          <t>VÄSTRA GÖTALANDS LÄN</t>
        </is>
      </c>
      <c r="G124" t="inlineStr">
        <is>
          <t>TÖREBODA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45579</v>
      </c>
      <c r="E125" s="1" t="n">
        <v>46292</v>
      </c>
      <c r="F125" t="inlineStr">
        <is>
          <t>VÄSTRA GÖTALANDS LÄN</t>
        </is>
      </c>
      <c r="G125" t="inlineStr">
        <is>
          <t>TÖREBODA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14557-2026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46100</v>
      </c>
      <c r="E126" s="1" t="n">
        <v>46292</v>
      </c>
      <c r="F126" t="inlineStr">
        <is>
          <t>VÄSTRA GÖTALANDS LÄN</t>
        </is>
      </c>
      <c r="G126" t="inlineStr">
        <is>
          <t>TÖREBODA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39791-2024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46292</v>
      </c>
      <c r="F127" t="inlineStr">
        <is>
          <t>VÄSTRA GÖTALANDS LÄN</t>
        </is>
      </c>
      <c r="G127" t="inlineStr">
        <is>
          <t>TÖREBODA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15567-2026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46106</v>
      </c>
      <c r="E128" s="1" t="n">
        <v>46292</v>
      </c>
      <c r="F128" t="inlineStr">
        <is>
          <t>VÄSTRA GÖTALANDS LÄN</t>
        </is>
      </c>
      <c r="G128" t="inlineStr">
        <is>
          <t>TÖREBODA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16200-2026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46111</v>
      </c>
      <c r="E129" s="1" t="n">
        <v>46292</v>
      </c>
      <c r="F129" t="inlineStr">
        <is>
          <t>VÄSTRA GÖTALANDS LÄN</t>
        </is>
      </c>
      <c r="G129" t="inlineStr">
        <is>
          <t>TÖREBODA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46292</v>
      </c>
      <c r="F130" t="inlineStr">
        <is>
          <t>VÄSTRA GÖTALANDS LÄN</t>
        </is>
      </c>
      <c r="G130" t="inlineStr">
        <is>
          <t>TÖREBODA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45954</v>
      </c>
      <c r="E131" s="1" t="n">
        <v>46292</v>
      </c>
      <c r="F131" t="inlineStr">
        <is>
          <t>VÄSTRA GÖTALANDS LÄN</t>
        </is>
      </c>
      <c r="G131" t="inlineStr">
        <is>
          <t>TÖREBODA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52639-2025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46292</v>
      </c>
      <c r="F132" t="inlineStr">
        <is>
          <t>VÄSTRA GÖTALANDS LÄN</t>
        </is>
      </c>
      <c r="G132" t="inlineStr">
        <is>
          <t>TÖREBODA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26941-2025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45811</v>
      </c>
      <c r="E133" s="1" t="n">
        <v>46292</v>
      </c>
      <c r="F133" t="inlineStr">
        <is>
          <t>VÄSTRA GÖTALANDS LÄN</t>
        </is>
      </c>
      <c r="G133" t="inlineStr">
        <is>
          <t>TÖREBODA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46292</v>
      </c>
      <c r="F134" t="inlineStr">
        <is>
          <t>VÄSTRA GÖTALANDS LÄN</t>
        </is>
      </c>
      <c r="G134" t="inlineStr">
        <is>
          <t>TÖREBODA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45328</v>
      </c>
      <c r="E135" s="1" t="n">
        <v>46292</v>
      </c>
      <c r="F135" t="inlineStr">
        <is>
          <t>VÄSTRA GÖTALANDS LÄN</t>
        </is>
      </c>
      <c r="G135" t="inlineStr">
        <is>
          <t>TÖREBODA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46292</v>
      </c>
      <c r="F136" t="inlineStr">
        <is>
          <t>VÄSTRA GÖTALANDS LÄN</t>
        </is>
      </c>
      <c r="G136" t="inlineStr">
        <is>
          <t>TÖREBODA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17895-2026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46122</v>
      </c>
      <c r="E137" s="1" t="n">
        <v>46292</v>
      </c>
      <c r="F137" t="inlineStr">
        <is>
          <t>VÄSTRA GÖTALANDS LÄN</t>
        </is>
      </c>
      <c r="G137" t="inlineStr">
        <is>
          <t>TÖREBODA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47319-2022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46292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55593-2025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45971</v>
      </c>
      <c r="E139" s="1" t="n">
        <v>46292</v>
      </c>
      <c r="F139" t="inlineStr">
        <is>
          <t>VÄSTRA GÖTALANDS LÄN</t>
        </is>
      </c>
      <c r="G139" t="inlineStr">
        <is>
          <t>TÖREBODA</t>
        </is>
      </c>
      <c r="I139" t="n">
        <v>20.8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46292</v>
      </c>
      <c r="F140" t="inlineStr">
        <is>
          <t>VÄSTRA GÖTALANDS LÄN</t>
        </is>
      </c>
      <c r="G140" t="inlineStr">
        <is>
          <t>TÖREBODA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46292</v>
      </c>
      <c r="F141" t="inlineStr">
        <is>
          <t>VÄSTRA GÖTALANDS LÄN</t>
        </is>
      </c>
      <c r="G141" t="inlineStr">
        <is>
          <t>TÖREBODA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45077</v>
      </c>
      <c r="E142" s="1" t="n">
        <v>46292</v>
      </c>
      <c r="F142" t="inlineStr">
        <is>
          <t>VÄSTRA GÖTALANDS LÄN</t>
        </is>
      </c>
      <c r="G142" t="inlineStr">
        <is>
          <t>TÖREBODA</t>
        </is>
      </c>
      <c r="H142" t="inlineStr">
        <is>
          <t>Övriga Aktiebolag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55766-2025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45972</v>
      </c>
      <c r="E143" s="1" t="n">
        <v>46292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45972</v>
      </c>
      <c r="E144" s="1" t="n">
        <v>46292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57225-2021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44483</v>
      </c>
      <c r="E145" s="1" t="n">
        <v>46292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13056-2023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45002</v>
      </c>
      <c r="E146" s="1" t="n">
        <v>46292</v>
      </c>
      <c r="F146" t="inlineStr">
        <is>
          <t>VÄSTRA GÖTALANDS LÄN</t>
        </is>
      </c>
      <c r="G146" t="inlineStr">
        <is>
          <t>TÖREBODA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11159-2023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44987</v>
      </c>
      <c r="E147" s="1" t="n">
        <v>46292</v>
      </c>
      <c r="F147" t="inlineStr">
        <is>
          <t>VÄSTRA GÖTALANDS LÄN</t>
        </is>
      </c>
      <c r="G147" t="inlineStr">
        <is>
          <t>TÖREBODA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19685-2026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46134</v>
      </c>
      <c r="E148" s="1" t="n">
        <v>46292</v>
      </c>
      <c r="F148" t="inlineStr">
        <is>
          <t>VÄSTRA GÖTALANDS LÄN</t>
        </is>
      </c>
      <c r="G148" t="inlineStr">
        <is>
          <t>TÖREBODA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56684-2024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45627</v>
      </c>
      <c r="E149" s="1" t="n">
        <v>46292</v>
      </c>
      <c r="F149" t="inlineStr">
        <is>
          <t>VÄSTRA GÖTALANDS LÄN</t>
        </is>
      </c>
      <c r="G149" t="inlineStr">
        <is>
          <t>TÖREBODA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19706-2026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46134</v>
      </c>
      <c r="E150" s="1" t="n">
        <v>46292</v>
      </c>
      <c r="F150" t="inlineStr">
        <is>
          <t>VÄSTRA GÖTALANDS LÄN</t>
        </is>
      </c>
      <c r="G150" t="inlineStr">
        <is>
          <t>TÖREBODA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45664</v>
      </c>
      <c r="E151" s="1" t="n">
        <v>46292</v>
      </c>
      <c r="F151" t="inlineStr">
        <is>
          <t>VÄSTRA GÖTALANDS LÄN</t>
        </is>
      </c>
      <c r="G151" t="inlineStr">
        <is>
          <t>TÖREBODA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45664</v>
      </c>
      <c r="E152" s="1" t="n">
        <v>46292</v>
      </c>
      <c r="F152" t="inlineStr">
        <is>
          <t>VÄSTRA GÖTALANDS LÄN</t>
        </is>
      </c>
      <c r="G152" t="inlineStr">
        <is>
          <t>TÖREBODA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16265-2025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45750</v>
      </c>
      <c r="E153" s="1" t="n">
        <v>46292</v>
      </c>
      <c r="F153" t="inlineStr">
        <is>
          <t>VÄSTRA GÖTALANDS LÄN</t>
        </is>
      </c>
      <c r="G153" t="inlineStr">
        <is>
          <t>TÖREBODA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6442-2025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45699</v>
      </c>
      <c r="E154" s="1" t="n">
        <v>46292</v>
      </c>
      <c r="F154" t="inlineStr">
        <is>
          <t>VÄSTRA GÖTALANDS LÄN</t>
        </is>
      </c>
      <c r="G154" t="inlineStr">
        <is>
          <t>TÖREBODA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32463-2022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44782</v>
      </c>
      <c r="E155" s="1" t="n">
        <v>46292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statliga verk och myndigheter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44756</v>
      </c>
      <c r="E156" s="1" t="n">
        <v>46292</v>
      </c>
      <c r="F156" t="inlineStr">
        <is>
          <t>VÄSTRA GÖTALANDS LÄN</t>
        </is>
      </c>
      <c r="G156" t="inlineStr">
        <is>
          <t>TÖREBODA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20471-2026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46292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62980-2025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46292</v>
      </c>
      <c r="F158" t="inlineStr">
        <is>
          <t>VÄSTRA GÖTALANDS LÄN</t>
        </is>
      </c>
      <c r="G158" t="inlineStr">
        <is>
          <t>TÖREBODA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46292</v>
      </c>
      <c r="F159" t="inlineStr">
        <is>
          <t>VÄSTRA GÖTALANDS LÄN</t>
        </is>
      </c>
      <c r="G159" t="inlineStr">
        <is>
          <t>TÖREBODA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43561-2024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45569</v>
      </c>
      <c r="E160" s="1" t="n">
        <v>46292</v>
      </c>
      <c r="F160" t="inlineStr">
        <is>
          <t>VÄSTRA GÖTALANDS LÄN</t>
        </is>
      </c>
      <c r="G160" t="inlineStr">
        <is>
          <t>TÖREBODA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18741-2025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46292</v>
      </c>
      <c r="F161" t="inlineStr">
        <is>
          <t>VÄSTRA GÖTALANDS LÄN</t>
        </is>
      </c>
      <c r="G161" t="inlineStr">
        <is>
          <t>TÖREBODA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44473</v>
      </c>
      <c r="E162" s="1" t="n">
        <v>46292</v>
      </c>
      <c r="F162" t="inlineStr">
        <is>
          <t>VÄSTRA GÖTALANDS LÄN</t>
        </is>
      </c>
      <c r="G162" t="inlineStr">
        <is>
          <t>TÖREBODA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45049</v>
      </c>
      <c r="E163" s="1" t="n">
        <v>46292</v>
      </c>
      <c r="F163" t="inlineStr">
        <is>
          <t>VÄSTRA GÖTALANDS LÄN</t>
        </is>
      </c>
      <c r="G163" t="inlineStr">
        <is>
          <t>TÖREBODA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30591-2025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46292</v>
      </c>
      <c r="F164" t="inlineStr">
        <is>
          <t>VÄSTRA GÖTALANDS LÄN</t>
        </is>
      </c>
      <c r="G164" t="inlineStr">
        <is>
          <t>TÖREBODA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45425</v>
      </c>
      <c r="E165" s="1" t="n">
        <v>46292</v>
      </c>
      <c r="F165" t="inlineStr">
        <is>
          <t>VÄSTRA GÖTALANDS LÄN</t>
        </is>
      </c>
      <c r="G165" t="inlineStr">
        <is>
          <t>TÖREBODA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45757</v>
      </c>
      <c r="E166" s="1" t="n">
        <v>46292</v>
      </c>
      <c r="F166" t="inlineStr">
        <is>
          <t>VÄSTRA GÖTALANDS LÄN</t>
        </is>
      </c>
      <c r="G166" t="inlineStr">
        <is>
          <t>TÖREBODA</t>
        </is>
      </c>
      <c r="I166" t="n">
        <v>49.4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62542-2022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44924</v>
      </c>
      <c r="E167" s="1" t="n">
        <v>46292</v>
      </c>
      <c r="F167" t="inlineStr">
        <is>
          <t>VÄSTRA GÖTALANDS LÄN</t>
        </is>
      </c>
      <c r="G167" t="inlineStr">
        <is>
          <t>TÖREBODA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16703-2025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45754</v>
      </c>
      <c r="E168" s="1" t="n">
        <v>46292</v>
      </c>
      <c r="F168" t="inlineStr">
        <is>
          <t>VÄSTRA GÖTALANDS LÄN</t>
        </is>
      </c>
      <c r="G168" t="inlineStr">
        <is>
          <t>TÖREBODA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21187-2026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46146</v>
      </c>
      <c r="E169" s="1" t="n">
        <v>46292</v>
      </c>
      <c r="F169" t="inlineStr">
        <is>
          <t>VÄSTRA GÖTALANDS LÄN</t>
        </is>
      </c>
      <c r="G169" t="inlineStr">
        <is>
          <t>TÖREBODA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27251-2023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46292</v>
      </c>
      <c r="F170" t="inlineStr">
        <is>
          <t>VÄSTRA GÖTALANDS LÄN</t>
        </is>
      </c>
      <c r="G170" t="inlineStr">
        <is>
          <t>TÖREBODA</t>
        </is>
      </c>
      <c r="H170" t="inlineStr">
        <is>
          <t>Övriga statliga verk och myndigheter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39798-2024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45553</v>
      </c>
      <c r="E171" s="1" t="n">
        <v>46292</v>
      </c>
      <c r="F171" t="inlineStr">
        <is>
          <t>VÄSTRA GÖTALANDS LÄN</t>
        </is>
      </c>
      <c r="G171" t="inlineStr">
        <is>
          <t>TÖREBODA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21966-2026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46152</v>
      </c>
      <c r="E172" s="1" t="n">
        <v>46292</v>
      </c>
      <c r="F172" t="inlineStr">
        <is>
          <t>VÄSTRA GÖTALANDS LÄN</t>
        </is>
      </c>
      <c r="G172" t="inlineStr">
        <is>
          <t>TÖREBODA</t>
        </is>
      </c>
      <c r="I172" t="n">
        <v>8.6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46152</v>
      </c>
      <c r="E173" s="1" t="n">
        <v>46292</v>
      </c>
      <c r="F173" t="inlineStr">
        <is>
          <t>VÄSTRA GÖTALANDS LÄN</t>
        </is>
      </c>
      <c r="G173" t="inlineStr">
        <is>
          <t>TÖREBODA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21968-2026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46152</v>
      </c>
      <c r="E174" s="1" t="n">
        <v>46292</v>
      </c>
      <c r="F174" t="inlineStr">
        <is>
          <t>VÄSTRA GÖTALANDS LÄN</t>
        </is>
      </c>
      <c r="G174" t="inlineStr">
        <is>
          <t>TÖREBODA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46152</v>
      </c>
      <c r="E175" s="1" t="n">
        <v>46292</v>
      </c>
      <c r="F175" t="inlineStr">
        <is>
          <t>VÄSTRA GÖTALANDS LÄN</t>
        </is>
      </c>
      <c r="G175" t="inlineStr">
        <is>
          <t>TÖREBODA</t>
        </is>
      </c>
      <c r="I175" t="n">
        <v>8.699999999999999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56273-2022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44890</v>
      </c>
      <c r="E176" s="1" t="n">
        <v>46292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46152</v>
      </c>
      <c r="E177" s="1" t="n">
        <v>46292</v>
      </c>
      <c r="F177" t="inlineStr">
        <is>
          <t>VÄSTRA GÖTALANDS LÄN</t>
        </is>
      </c>
      <c r="G177" t="inlineStr">
        <is>
          <t>TÖREBODA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46152</v>
      </c>
      <c r="E178" s="1" t="n">
        <v>46292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46152</v>
      </c>
      <c r="E179" s="1" t="n">
        <v>46292</v>
      </c>
      <c r="F179" t="inlineStr">
        <is>
          <t>VÄSTRA GÖTALANDS LÄN</t>
        </is>
      </c>
      <c r="G179" t="inlineStr">
        <is>
          <t>TÖREBODA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21965-2026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46152</v>
      </c>
      <c r="E180" s="1" t="n">
        <v>46292</v>
      </c>
      <c r="F180" t="inlineStr">
        <is>
          <t>VÄSTRA GÖTALANDS LÄN</t>
        </is>
      </c>
      <c r="G180" t="inlineStr">
        <is>
          <t>TÖREBODA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45665</v>
      </c>
      <c r="E181" s="1" t="n">
        <v>46292</v>
      </c>
      <c r="F181" t="inlineStr">
        <is>
          <t>VÄSTRA GÖTALANDS LÄN</t>
        </is>
      </c>
      <c r="G181" t="inlineStr">
        <is>
          <t>TÖREBODA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45835</v>
      </c>
      <c r="E182" s="1" t="n">
        <v>46292</v>
      </c>
      <c r="F182" t="inlineStr">
        <is>
          <t>VÄSTRA GÖTALANDS LÄN</t>
        </is>
      </c>
      <c r="G182" t="inlineStr">
        <is>
          <t>TÖREBODA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51626-2023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45215</v>
      </c>
      <c r="E183" s="1" t="n">
        <v>46292</v>
      </c>
      <c r="F183" t="inlineStr">
        <is>
          <t>VÄSTRA GÖTALANDS LÄN</t>
        </is>
      </c>
      <c r="G183" t="inlineStr">
        <is>
          <t>TÖREBODA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46292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45835</v>
      </c>
      <c r="E185" s="1" t="n">
        <v>46292</v>
      </c>
      <c r="F185" t="inlineStr">
        <is>
          <t>VÄSTRA GÖTALANDS LÄN</t>
        </is>
      </c>
      <c r="G185" t="inlineStr">
        <is>
          <t>TÖREBODA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46292</v>
      </c>
      <c r="F186" t="inlineStr">
        <is>
          <t>VÄSTRA GÖTALANDS LÄN</t>
        </is>
      </c>
      <c r="G186" t="inlineStr">
        <is>
          <t>TÖREBODA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46292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Övriga statliga verk och myndigheter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45384</v>
      </c>
      <c r="E188" s="1" t="n">
        <v>46292</v>
      </c>
      <c r="F188" t="inlineStr">
        <is>
          <t>VÄSTRA GÖTALANDS LÄN</t>
        </is>
      </c>
      <c r="G188" t="inlineStr">
        <is>
          <t>TÖREBODA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33541-2025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45841</v>
      </c>
      <c r="E189" s="1" t="n">
        <v>46292</v>
      </c>
      <c r="F189" t="inlineStr">
        <is>
          <t>VÄSTRA GÖTALANDS LÄN</t>
        </is>
      </c>
      <c r="G189" t="inlineStr">
        <is>
          <t>TÖREBODA</t>
        </is>
      </c>
      <c r="H189" t="inlineStr">
        <is>
          <t>Övriga statliga verk och myndigheter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46292</v>
      </c>
      <c r="F190" t="inlineStr">
        <is>
          <t>VÄSTRA GÖTALANDS LÄN</t>
        </is>
      </c>
      <c r="G190" t="inlineStr">
        <is>
          <t>TÖREBODA</t>
        </is>
      </c>
      <c r="H190" t="inlineStr">
        <is>
          <t>Övriga statliga verk och myndigheter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33396-2025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45841</v>
      </c>
      <c r="E191" s="1" t="n">
        <v>46292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Övriga statliga verk och myndigheter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46292</v>
      </c>
      <c r="F192" t="inlineStr">
        <is>
          <t>VÄSTRA GÖTALANDS LÄN</t>
        </is>
      </c>
      <c r="G192" t="inlineStr">
        <is>
          <t>TÖREBODA</t>
        </is>
      </c>
      <c r="H192" t="inlineStr">
        <is>
          <t>Övriga statliga verk och myndigheter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33530-2025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45841</v>
      </c>
      <c r="E193" s="1" t="n">
        <v>46292</v>
      </c>
      <c r="F193" t="inlineStr">
        <is>
          <t>VÄSTRA GÖTALANDS LÄN</t>
        </is>
      </c>
      <c r="G193" t="inlineStr">
        <is>
          <t>TÖREBODA</t>
        </is>
      </c>
      <c r="H193" t="inlineStr">
        <is>
          <t>Övriga statliga verk och myndigheter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33331-2025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45841</v>
      </c>
      <c r="E194" s="1" t="n">
        <v>46292</v>
      </c>
      <c r="F194" t="inlineStr">
        <is>
          <t>VÄSTRA GÖTALANDS LÄN</t>
        </is>
      </c>
      <c r="G194" t="inlineStr">
        <is>
          <t>TÖREBODA</t>
        </is>
      </c>
      <c r="H194" t="inlineStr">
        <is>
          <t>Övriga statliga verk och myndigheter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45191</v>
      </c>
      <c r="E195" s="1" t="n">
        <v>46292</v>
      </c>
      <c r="F195" t="inlineStr">
        <is>
          <t>VÄSTRA GÖTALANDS LÄN</t>
        </is>
      </c>
      <c r="G195" t="inlineStr">
        <is>
          <t>TÖREBODA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45764</v>
      </c>
      <c r="E196" s="1" t="n">
        <v>46292</v>
      </c>
      <c r="F196" t="inlineStr">
        <is>
          <t>VÄSTRA GÖTALANDS LÄN</t>
        </is>
      </c>
      <c r="G196" t="inlineStr">
        <is>
          <t>TÖREBODA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46168</v>
      </c>
      <c r="E197" s="1" t="n">
        <v>46292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46292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Sveaskog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46292</v>
      </c>
      <c r="F199" t="inlineStr">
        <is>
          <t>VÄSTRA GÖTALANDS LÄN</t>
        </is>
      </c>
      <c r="G199" t="inlineStr">
        <is>
          <t>TÖREBODA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45741</v>
      </c>
      <c r="E200" s="1" t="n">
        <v>46292</v>
      </c>
      <c r="F200" t="inlineStr">
        <is>
          <t>VÄSTRA GÖTALANDS LÄN</t>
        </is>
      </c>
      <c r="G200" t="inlineStr">
        <is>
          <t>TÖREBODA</t>
        </is>
      </c>
      <c r="I200" t="n">
        <v>8.199999999999999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59315-2024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46292</v>
      </c>
      <c r="F201" t="inlineStr">
        <is>
          <t>VÄSTRA GÖTALANDS LÄN</t>
        </is>
      </c>
      <c r="G201" t="inlineStr">
        <is>
          <t>TÖREBODA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34865-2023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45142</v>
      </c>
      <c r="E202" s="1" t="n">
        <v>46292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45309</v>
      </c>
      <c r="E203" s="1" t="n">
        <v>46292</v>
      </c>
      <c r="F203" t="inlineStr">
        <is>
          <t>VÄSTRA GÖTALANDS LÄN</t>
        </is>
      </c>
      <c r="G203" t="inlineStr">
        <is>
          <t>TÖREBODA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35238-2023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45145</v>
      </c>
      <c r="E204" s="1" t="n">
        <v>46292</v>
      </c>
      <c r="F204" t="inlineStr">
        <is>
          <t>VÄSTRA GÖTALANDS LÄN</t>
        </is>
      </c>
      <c r="G204" t="inlineStr">
        <is>
          <t>TÖREBODA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33754-2023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45133</v>
      </c>
      <c r="E205" s="1" t="n">
        <v>46292</v>
      </c>
      <c r="F205" t="inlineStr">
        <is>
          <t>VÄSTRA GÖTALANDS LÄN</t>
        </is>
      </c>
      <c r="G205" t="inlineStr">
        <is>
          <t>TÖREBODA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44937</v>
      </c>
      <c r="E206" s="1" t="n">
        <v>46292</v>
      </c>
      <c r="F206" t="inlineStr">
        <is>
          <t>VÄSTRA GÖTALANDS LÄN</t>
        </is>
      </c>
      <c r="G206" t="inlineStr">
        <is>
          <t>TÖREBODA</t>
        </is>
      </c>
      <c r="H206" t="inlineStr">
        <is>
          <t>Övriga statliga verk och myndigheter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46292</v>
      </c>
      <c r="F207" t="inlineStr">
        <is>
          <t>VÄSTRA GÖTALANDS LÄN</t>
        </is>
      </c>
      <c r="G207" t="inlineStr">
        <is>
          <t>TÖREBODA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45460</v>
      </c>
      <c r="E208" s="1" t="n">
        <v>46292</v>
      </c>
      <c r="F208" t="inlineStr">
        <is>
          <t>VÄSTRA GÖTALANDS LÄN</t>
        </is>
      </c>
      <c r="G208" t="inlineStr">
        <is>
          <t>TÖREBODA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39189-2023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46292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45556</v>
      </c>
      <c r="E210" s="1" t="n">
        <v>46292</v>
      </c>
      <c r="F210" t="inlineStr">
        <is>
          <t>VÄSTRA GÖTALANDS LÄN</t>
        </is>
      </c>
      <c r="G210" t="inlineStr">
        <is>
          <t>TÖREBODA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46292</v>
      </c>
      <c r="F211" t="inlineStr">
        <is>
          <t>VÄSTRA GÖTALANDS LÄN</t>
        </is>
      </c>
      <c r="G211" t="inlineStr">
        <is>
          <t>TÖREBODA</t>
        </is>
      </c>
      <c r="H211" t="inlineStr">
        <is>
          <t>Övriga statliga verk och myndigheter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22021-2024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46292</v>
      </c>
      <c r="F212" t="inlineStr">
        <is>
          <t>VÄSTRA GÖTALANDS LÄN</t>
        </is>
      </c>
      <c r="G212" t="inlineStr">
        <is>
          <t>TÖREBODA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24355-2024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45457</v>
      </c>
      <c r="E213" s="1" t="n">
        <v>46292</v>
      </c>
      <c r="F213" t="inlineStr">
        <is>
          <t>VÄSTRA GÖTALANDS LÄN</t>
        </is>
      </c>
      <c r="G213" t="inlineStr">
        <is>
          <t>TÖREBODA</t>
        </is>
      </c>
      <c r="H213" t="inlineStr">
        <is>
          <t>Övriga statliga verk och myndigheter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45552</v>
      </c>
      <c r="E214" s="1" t="n">
        <v>46292</v>
      </c>
      <c r="F214" t="inlineStr">
        <is>
          <t>VÄSTRA GÖTALANDS LÄN</t>
        </is>
      </c>
      <c r="G214" t="inlineStr">
        <is>
          <t>TÖREBODA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56685-2024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45627</v>
      </c>
      <c r="E215" s="1" t="n">
        <v>46292</v>
      </c>
      <c r="F215" t="inlineStr">
        <is>
          <t>VÄSTRA GÖTALANDS LÄN</t>
        </is>
      </c>
      <c r="G215" t="inlineStr">
        <is>
          <t>TÖREBODA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40542-2024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46292</v>
      </c>
      <c r="F216" t="inlineStr">
        <is>
          <t>VÄSTRA GÖTALANDS LÄN</t>
        </is>
      </c>
      <c r="G216" t="inlineStr">
        <is>
          <t>TÖREBODA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10448-2025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46292</v>
      </c>
      <c r="F217" t="inlineStr">
        <is>
          <t>VÄSTRA GÖTALANDS LÄN</t>
        </is>
      </c>
      <c r="G217" t="inlineStr">
        <is>
          <t>TÖREBODA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46292</v>
      </c>
      <c r="F218" t="inlineStr">
        <is>
          <t>VÄSTRA GÖTALANDS LÄN</t>
        </is>
      </c>
      <c r="G218" t="inlineStr">
        <is>
          <t>TÖREBODA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15947-2022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46292</v>
      </c>
      <c r="F219" t="inlineStr">
        <is>
          <t>VÄSTRA GÖTALANDS LÄN</t>
        </is>
      </c>
      <c r="G219" t="inlineStr">
        <is>
          <t>TÖREBODA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35239-2023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46292</v>
      </c>
      <c r="F220" t="inlineStr">
        <is>
          <t>VÄSTRA GÖTALANDS LÄN</t>
        </is>
      </c>
      <c r="G220" t="inlineStr">
        <is>
          <t>TÖREBODA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45328</v>
      </c>
      <c r="E221" s="1" t="n">
        <v>46292</v>
      </c>
      <c r="F221" t="inlineStr">
        <is>
          <t>VÄSTRA GÖTALANDS LÄN</t>
        </is>
      </c>
      <c r="G221" t="inlineStr">
        <is>
          <t>TÖREBODA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46292</v>
      </c>
      <c r="F222" t="inlineStr">
        <is>
          <t>VÄSTRA GÖTALANDS LÄN</t>
        </is>
      </c>
      <c r="G222" t="inlineStr">
        <is>
          <t>TÖREBODA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46292</v>
      </c>
      <c r="F223" t="inlineStr">
        <is>
          <t>VÄSTRA GÖTALANDS LÄN</t>
        </is>
      </c>
      <c r="G223" t="inlineStr">
        <is>
          <t>TÖREBODA</t>
        </is>
      </c>
      <c r="H223" t="inlineStr">
        <is>
          <t>Sveaskog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30194-2026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46292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46292</v>
      </c>
      <c r="F225" t="inlineStr">
        <is>
          <t>VÄSTRA GÖTALANDS LÄN</t>
        </is>
      </c>
      <c r="G225" t="inlineStr">
        <is>
          <t>TÖREBODA</t>
        </is>
      </c>
      <c r="H225" t="inlineStr">
        <is>
          <t>Sveaskog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33713-2026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46292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45607</v>
      </c>
      <c r="E227" s="1" t="n">
        <v>46292</v>
      </c>
      <c r="F227" t="inlineStr">
        <is>
          <t>VÄSTRA GÖTALANDS LÄN</t>
        </is>
      </c>
      <c r="G227" t="inlineStr">
        <is>
          <t>TÖREBODA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46210</v>
      </c>
      <c r="E228" s="1" t="n">
        <v>46292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10.7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45236</v>
      </c>
      <c r="E229" s="1" t="n">
        <v>46292</v>
      </c>
      <c r="F229" t="inlineStr">
        <is>
          <t>VÄSTRA GÖTALANDS LÄN</t>
        </is>
      </c>
      <c r="G229" t="inlineStr">
        <is>
          <t>TÖREBODA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19874-2022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46292</v>
      </c>
      <c r="F230" t="inlineStr">
        <is>
          <t>VÄSTRA GÖTALANDS LÄN</t>
        </is>
      </c>
      <c r="G230" t="inlineStr">
        <is>
          <t>TÖREBODA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37837-2023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45156</v>
      </c>
      <c r="E231" s="1" t="n">
        <v>46292</v>
      </c>
      <c r="F231" t="inlineStr">
        <is>
          <t>VÄSTRA GÖTALANDS LÄN</t>
        </is>
      </c>
      <c r="G231" t="inlineStr">
        <is>
          <t>TÖREBODA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35487-2024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46292</v>
      </c>
      <c r="F232" t="inlineStr">
        <is>
          <t>VÄSTRA GÖTALANDS LÄN</t>
        </is>
      </c>
      <c r="G232" t="inlineStr">
        <is>
          <t>TÖREBODA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46292</v>
      </c>
      <c r="F233" t="inlineStr">
        <is>
          <t>VÄSTRA GÖTALANDS LÄN</t>
        </is>
      </c>
      <c r="G233" t="inlineStr">
        <is>
          <t>TÖREBODA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46292</v>
      </c>
      <c r="F234" t="inlineStr">
        <is>
          <t>VÄSTRA GÖTALANDS LÄN</t>
        </is>
      </c>
      <c r="G234" t="inlineStr">
        <is>
          <t>TÖREBODA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46292</v>
      </c>
      <c r="F235" t="inlineStr">
        <is>
          <t>VÄSTRA GÖTALANDS LÄN</t>
        </is>
      </c>
      <c r="G235" t="inlineStr">
        <is>
          <t>TÖREBODA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33715-2026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46251</v>
      </c>
      <c r="E236" s="1" t="n">
        <v>46292</v>
      </c>
      <c r="F236" t="inlineStr">
        <is>
          <t>VÄSTRA GÖTALANDS LÄN</t>
        </is>
      </c>
      <c r="G236" t="inlineStr">
        <is>
          <t>TÖREBODA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46292</v>
      </c>
      <c r="F237" t="inlineStr">
        <is>
          <t>VÄSTRA GÖTALANDS LÄN</t>
        </is>
      </c>
      <c r="G237" t="inlineStr">
        <is>
          <t>TÖREBODA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28196-2022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44746</v>
      </c>
      <c r="E238" s="1" t="n">
        <v>46292</v>
      </c>
      <c r="F238" t="inlineStr">
        <is>
          <t>VÄSTRA GÖTALANDS LÄN</t>
        </is>
      </c>
      <c r="G238" t="inlineStr">
        <is>
          <t>TÖREBODA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46292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36390-2026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46268</v>
      </c>
      <c r="E240" s="1" t="n">
        <v>46292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Sveaskog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36277-2026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46268</v>
      </c>
      <c r="E241" s="1" t="n">
        <v>46292</v>
      </c>
      <c r="F241" t="inlineStr">
        <is>
          <t>VÄSTRA GÖTALANDS LÄN</t>
        </is>
      </c>
      <c r="G241" t="inlineStr">
        <is>
          <t>TÖREBODA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36387-2026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46268</v>
      </c>
      <c r="E242" s="1" t="n">
        <v>46292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45530</v>
      </c>
      <c r="E243" s="1" t="n">
        <v>46292</v>
      </c>
      <c r="F243" t="inlineStr">
        <is>
          <t>VÄSTRA GÖTALANDS LÄN</t>
        </is>
      </c>
      <c r="G243" t="inlineStr">
        <is>
          <t>TÖREBODA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36384-2026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46268</v>
      </c>
      <c r="E244" s="1" t="n">
        <v>46292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Sveaskog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36386-2026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46268</v>
      </c>
      <c r="E245" s="1" t="n">
        <v>46292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44950</v>
      </c>
      <c r="E246" s="1" t="n">
        <v>46292</v>
      </c>
      <c r="F246" t="inlineStr">
        <is>
          <t>VÄSTRA GÖTALANDS LÄN</t>
        </is>
      </c>
      <c r="G246" t="inlineStr">
        <is>
          <t>TÖREBODA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46292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31901-2026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46231</v>
      </c>
      <c r="E248" s="1" t="n">
        <v>46292</v>
      </c>
      <c r="F248" t="inlineStr">
        <is>
          <t>VÄSTRA GÖTALANDS LÄN</t>
        </is>
      </c>
      <c r="G248" t="inlineStr">
        <is>
          <t>TÖREBODA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46292</v>
      </c>
      <c r="F249" t="inlineStr">
        <is>
          <t>VÄSTRA GÖTALANDS LÄN</t>
        </is>
      </c>
      <c r="G249" t="inlineStr">
        <is>
          <t>TÖREBODA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37453-2026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46275</v>
      </c>
      <c r="E250" s="1" t="n">
        <v>46292</v>
      </c>
      <c r="F250" t="inlineStr">
        <is>
          <t>VÄSTRA GÖTALANDS LÄN</t>
        </is>
      </c>
      <c r="G250" t="inlineStr">
        <is>
          <t>TÖREBODA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54459-2023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45233</v>
      </c>
      <c r="E251" s="1" t="n">
        <v>46292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45405</v>
      </c>
      <c r="E252" s="1" t="n">
        <v>46292</v>
      </c>
      <c r="F252" t="inlineStr">
        <is>
          <t>VÄSTRA GÖTALANDS LÄN</t>
        </is>
      </c>
      <c r="G252" t="inlineStr">
        <is>
          <t>TÖREBODA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44978</v>
      </c>
      <c r="E253" s="1" t="n">
        <v>46292</v>
      </c>
      <c r="F253" t="inlineStr">
        <is>
          <t>VÄSTRA GÖTALANDS LÄN</t>
        </is>
      </c>
      <c r="G253" t="inlineStr">
        <is>
          <t>TÖREBODA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36393-2026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46268</v>
      </c>
      <c r="E254" s="1" t="n">
        <v>46292</v>
      </c>
      <c r="F254" t="inlineStr">
        <is>
          <t>VÄSTRA GÖTALANDS LÄN</t>
        </is>
      </c>
      <c r="G254" t="inlineStr">
        <is>
          <t>TÖREBODA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44740</v>
      </c>
      <c r="E255" s="1" t="n">
        <v>46292</v>
      </c>
      <c r="F255" t="inlineStr">
        <is>
          <t>VÄSTRA GÖTALANDS LÄN</t>
        </is>
      </c>
      <c r="G255" t="inlineStr">
        <is>
          <t>TÖREBODA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45651</v>
      </c>
      <c r="E256" s="1" t="n">
        <v>46292</v>
      </c>
      <c r="F256" t="inlineStr">
        <is>
          <t>VÄSTRA GÖTALANDS LÄN</t>
        </is>
      </c>
      <c r="G256" t="inlineStr">
        <is>
          <t>TÖREBODA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29739-2024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45485</v>
      </c>
      <c r="E257" s="1" t="n">
        <v>46292</v>
      </c>
      <c r="F257" t="inlineStr">
        <is>
          <t>VÄSTRA GÖTALANDS LÄN</t>
        </is>
      </c>
      <c r="G257" t="inlineStr">
        <is>
          <t>TÖREBODA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44858</v>
      </c>
      <c r="E258" s="1" t="n">
        <v>46292</v>
      </c>
      <c r="F258" t="inlineStr">
        <is>
          <t>VÄSTRA GÖTALANDS LÄN</t>
        </is>
      </c>
      <c r="G258" t="inlineStr">
        <is>
          <t>TÖREBODA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46282</v>
      </c>
      <c r="E259" s="1" t="n">
        <v>46292</v>
      </c>
      <c r="F259" t="inlineStr">
        <is>
          <t>VÄSTRA GÖTALANDS LÄN</t>
        </is>
      </c>
      <c r="G259" t="inlineStr">
        <is>
          <t>TÖREBODA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58226-2022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44901</v>
      </c>
      <c r="E260" s="1" t="n">
        <v>46292</v>
      </c>
      <c r="F260" t="inlineStr">
        <is>
          <t>VÄSTRA GÖTALANDS LÄN</t>
        </is>
      </c>
      <c r="G260" t="inlineStr">
        <is>
          <t>TÖREBODA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38483-2026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46282</v>
      </c>
      <c r="E261" s="1" t="n">
        <v>46292</v>
      </c>
      <c r="F261" t="inlineStr">
        <is>
          <t>VÄSTRA GÖTALANDS LÄN</t>
        </is>
      </c>
      <c r="G261" t="inlineStr">
        <is>
          <t>TÖREBODA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46292</v>
      </c>
      <c r="F262" t="inlineStr">
        <is>
          <t>VÄSTRA GÖTALANDS LÄN</t>
        </is>
      </c>
      <c r="G262" t="inlineStr">
        <is>
          <t>TÖREBODA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39282-2026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46288</v>
      </c>
      <c r="E263" s="1" t="n">
        <v>46292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45268</v>
      </c>
      <c r="E264" s="1" t="n">
        <v>46292</v>
      </c>
      <c r="F264" t="inlineStr">
        <is>
          <t>VÄSTRA GÖTALANDS LÄN</t>
        </is>
      </c>
      <c r="G264" t="inlineStr">
        <is>
          <t>TÖREBODA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44951</v>
      </c>
      <c r="E265" s="1" t="n">
        <v>46292</v>
      </c>
      <c r="F265" t="inlineStr">
        <is>
          <t>VÄSTRA GÖTALANDS LÄN</t>
        </is>
      </c>
      <c r="G265" t="inlineStr">
        <is>
          <t>TÖREBODA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62363-2022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44923</v>
      </c>
      <c r="E266" s="1" t="n">
        <v>46292</v>
      </c>
      <c r="F266" t="inlineStr">
        <is>
          <t>VÄSTRA GÖTALANDS LÄN</t>
        </is>
      </c>
      <c r="G266" t="inlineStr">
        <is>
          <t>TÖREBODA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45344</v>
      </c>
      <c r="E267" s="1" t="n">
        <v>46292</v>
      </c>
      <c r="F267" t="inlineStr">
        <is>
          <t>VÄSTRA GÖTALANDS LÄN</t>
        </is>
      </c>
      <c r="G267" t="inlineStr">
        <is>
          <t>TÖREBODA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46292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33523-2026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46248</v>
      </c>
      <c r="E269" s="1" t="n">
        <v>46292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44964</v>
      </c>
      <c r="E270" s="1" t="n">
        <v>46292</v>
      </c>
      <c r="F270" t="inlineStr">
        <is>
          <t>VÄSTRA GÖTALANDS LÄN</t>
        </is>
      </c>
      <c r="G270" t="inlineStr">
        <is>
          <t>TÖREBODA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44816</v>
      </c>
      <c r="E271" s="1" t="n">
        <v>46292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Kyrkan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46288</v>
      </c>
      <c r="E272" s="1" t="n">
        <v>46292</v>
      </c>
      <c r="F272" t="inlineStr">
        <is>
          <t>VÄSTRA GÖTALANDS LÄN</t>
        </is>
      </c>
      <c r="G272" t="inlineStr">
        <is>
          <t>TÖREBODA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46292</v>
      </c>
      <c r="F273" t="inlineStr">
        <is>
          <t>VÄSTRA GÖTALANDS LÄN</t>
        </is>
      </c>
      <c r="G273" t="inlineStr">
        <is>
          <t>TÖREBODA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46292</v>
      </c>
      <c r="F274" t="inlineStr">
        <is>
          <t>VÄSTRA GÖTALANDS LÄN</t>
        </is>
      </c>
      <c r="G274" t="inlineStr">
        <is>
          <t>TÖREBODA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46292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57984-2022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46292</v>
      </c>
      <c r="F276" t="inlineStr">
        <is>
          <t>VÄSTRA GÖTALANDS LÄN</t>
        </is>
      </c>
      <c r="G276" t="inlineStr">
        <is>
          <t>TÖREBODA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24546-2024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45460</v>
      </c>
      <c r="E277" s="1" t="n">
        <v>46292</v>
      </c>
      <c r="F277" t="inlineStr">
        <is>
          <t>VÄSTRA GÖTALANDS LÄN</t>
        </is>
      </c>
      <c r="G277" t="inlineStr">
        <is>
          <t>TÖREBODA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57670-2023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46292</v>
      </c>
      <c r="F278" t="inlineStr">
        <is>
          <t>VÄSTRA GÖTALANDS LÄN</t>
        </is>
      </c>
      <c r="G278" t="inlineStr">
        <is>
          <t>TÖREBODA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58213-2022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46292</v>
      </c>
      <c r="F279" t="inlineStr">
        <is>
          <t>VÄSTRA GÖTALANDS LÄN</t>
        </is>
      </c>
      <c r="G279" t="inlineStr">
        <is>
          <t>TÖREBODA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45076</v>
      </c>
      <c r="E280" s="1" t="n">
        <v>46292</v>
      </c>
      <c r="F280" t="inlineStr">
        <is>
          <t>VÄSTRA GÖTALANDS LÄN</t>
        </is>
      </c>
      <c r="G280" t="inlineStr">
        <is>
          <t>TÖREBODA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44937</v>
      </c>
      <c r="E281" s="1" t="n">
        <v>46292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Övriga statliga verk och myndigheter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44972</v>
      </c>
      <c r="E282" s="1" t="n">
        <v>46292</v>
      </c>
      <c r="F282" t="inlineStr">
        <is>
          <t>VÄSTRA GÖTALANDS LÄN</t>
        </is>
      </c>
      <c r="G282" t="inlineStr">
        <is>
          <t>TÖREBODA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28183-2022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44746</v>
      </c>
      <c r="E283" s="1" t="n">
        <v>46292</v>
      </c>
      <c r="F283" t="inlineStr">
        <is>
          <t>VÄSTRA GÖTALANDS LÄN</t>
        </is>
      </c>
      <c r="G283" t="inlineStr">
        <is>
          <t>TÖREBODA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46292</v>
      </c>
      <c r="F284" t="inlineStr">
        <is>
          <t>VÄSTRA GÖTALANDS LÄN</t>
        </is>
      </c>
      <c r="G284" t="inlineStr">
        <is>
          <t>TÖREBODA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6446-2025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45699</v>
      </c>
      <c r="E285" s="1" t="n">
        <v>46292</v>
      </c>
      <c r="F285" t="inlineStr">
        <is>
          <t>VÄSTRA GÖTALANDS LÄN</t>
        </is>
      </c>
      <c r="G285" t="inlineStr">
        <is>
          <t>TÖREBODA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42109-2024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46292</v>
      </c>
      <c r="F286" t="inlineStr">
        <is>
          <t>VÄSTRA GÖTALANDS LÄN</t>
        </is>
      </c>
      <c r="G286" t="inlineStr">
        <is>
          <t>TÖREBODA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7826-2024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45349</v>
      </c>
      <c r="E287" s="1" t="n">
        <v>46292</v>
      </c>
      <c r="F287" t="inlineStr">
        <is>
          <t>VÄSTRA GÖTALANDS LÄN</t>
        </is>
      </c>
      <c r="G287" t="inlineStr">
        <is>
          <t>TÖREBODA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10430-2023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44987</v>
      </c>
      <c r="E288" s="1" t="n">
        <v>46292</v>
      </c>
      <c r="F288" t="inlineStr">
        <is>
          <t>VÄSTRA GÖTALANDS LÄN</t>
        </is>
      </c>
      <c r="G288" t="inlineStr">
        <is>
          <t>TÖREBODA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10431-2023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46292</v>
      </c>
      <c r="F289" t="inlineStr">
        <is>
          <t>VÄSTRA GÖTALANDS LÄN</t>
        </is>
      </c>
      <c r="G289" t="inlineStr">
        <is>
          <t>TÖREBODA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44956</v>
      </c>
      <c r="E290" s="1" t="n">
        <v>46292</v>
      </c>
      <c r="F290" t="inlineStr">
        <is>
          <t>VÄSTRA GÖTALANDS LÄN</t>
        </is>
      </c>
      <c r="G290" t="inlineStr">
        <is>
          <t>TÖREBODA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34436-2022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44792</v>
      </c>
      <c r="E291" s="1" t="n">
        <v>46292</v>
      </c>
      <c r="F291" t="inlineStr">
        <is>
          <t>VÄSTRA GÖTALANDS LÄN</t>
        </is>
      </c>
      <c r="G291" t="inlineStr">
        <is>
          <t>TÖREBODA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56614-2024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46292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4194-2024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45324</v>
      </c>
      <c r="E293" s="1" t="n">
        <v>46292</v>
      </c>
      <c r="F293" t="inlineStr">
        <is>
          <t>VÄSTRA GÖTALANDS LÄN</t>
        </is>
      </c>
      <c r="G293" t="inlineStr">
        <is>
          <t>TÖREBODA</t>
        </is>
      </c>
      <c r="I293" t="n">
        <v>28.9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3968-2024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45322</v>
      </c>
      <c r="E294" s="1" t="n">
        <v>46292</v>
      </c>
      <c r="F294" t="inlineStr">
        <is>
          <t>VÄSTRA GÖTALANDS LÄN</t>
        </is>
      </c>
      <c r="G294" t="inlineStr">
        <is>
          <t>TÖREBODA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45056</v>
      </c>
      <c r="E295" s="1" t="n">
        <v>46292</v>
      </c>
      <c r="F295" t="inlineStr">
        <is>
          <t>VÄSTRA GÖTALANDS LÄN</t>
        </is>
      </c>
      <c r="G295" t="inlineStr">
        <is>
          <t>TÖREBODA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27086-2022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44741</v>
      </c>
      <c r="E296" s="1" t="n">
        <v>46292</v>
      </c>
      <c r="F296" t="inlineStr">
        <is>
          <t>VÄSTRA GÖTALANDS LÄN</t>
        </is>
      </c>
      <c r="G296" t="inlineStr">
        <is>
          <t>TÖREBODA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56831-2022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44894</v>
      </c>
      <c r="E297" s="1" t="n">
        <v>46292</v>
      </c>
      <c r="F297" t="inlineStr">
        <is>
          <t>VÄSTRA GÖTALANDS LÄN</t>
        </is>
      </c>
      <c r="G297" t="inlineStr">
        <is>
          <t>TÖREBODA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46292</v>
      </c>
      <c r="F298" t="inlineStr">
        <is>
          <t>VÄSTRA GÖTALANDS LÄN</t>
        </is>
      </c>
      <c r="G298" t="inlineStr">
        <is>
          <t>TÖREBODA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39797-2024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46292</v>
      </c>
      <c r="F299" t="inlineStr">
        <is>
          <t>VÄSTRA GÖTALANDS LÄN</t>
        </is>
      </c>
      <c r="G299" t="inlineStr">
        <is>
          <t>TÖREBODA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44978</v>
      </c>
      <c r="E300" s="1" t="n">
        <v>46292</v>
      </c>
      <c r="F300" t="inlineStr">
        <is>
          <t>VÄSTRA GÖTALANDS LÄN</t>
        </is>
      </c>
      <c r="G300" t="inlineStr">
        <is>
          <t>TÖREBODA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41627-2022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44827</v>
      </c>
      <c r="E301" s="1" t="n">
        <v>46292</v>
      </c>
      <c r="F301" t="inlineStr">
        <is>
          <t>VÄSTRA GÖTALANDS LÄN</t>
        </is>
      </c>
      <c r="G301" t="inlineStr">
        <is>
          <t>TÖREBODA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41632-2022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44827</v>
      </c>
      <c r="E302" s="1" t="n">
        <v>46292</v>
      </c>
      <c r="F302" t="inlineStr">
        <is>
          <t>VÄSTRA GÖTALANDS LÄN</t>
        </is>
      </c>
      <c r="G302" t="inlineStr">
        <is>
          <t>TÖREBODA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46292</v>
      </c>
      <c r="F303" t="inlineStr">
        <is>
          <t>VÄSTRA GÖTALANDS LÄN</t>
        </is>
      </c>
      <c r="G303" t="inlineStr">
        <is>
          <t>TÖREBODA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46292</v>
      </c>
      <c r="F304" t="inlineStr">
        <is>
          <t>VÄSTRA GÖTALANDS LÄN</t>
        </is>
      </c>
      <c r="G304" t="inlineStr">
        <is>
          <t>TÖREBODA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46292</v>
      </c>
      <c r="F305" t="inlineStr">
        <is>
          <t>VÄSTRA GÖTALANDS LÄN</t>
        </is>
      </c>
      <c r="G305" t="inlineStr">
        <is>
          <t>TÖREBODA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46292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45350</v>
      </c>
      <c r="E307" s="1" t="n">
        <v>46292</v>
      </c>
      <c r="F307" t="inlineStr">
        <is>
          <t>VÄSTRA GÖTALANDS LÄN</t>
        </is>
      </c>
      <c r="G307" t="inlineStr">
        <is>
          <t>TÖREBODA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46292</v>
      </c>
      <c r="F308" t="inlineStr">
        <is>
          <t>VÄSTRA GÖTALANDS LÄN</t>
        </is>
      </c>
      <c r="G308" t="inlineStr">
        <is>
          <t>TÖREBODA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45531</v>
      </c>
      <c r="E309" s="1" t="n">
        <v>46292</v>
      </c>
      <c r="F309" t="inlineStr">
        <is>
          <t>VÄSTRA GÖTALANDS LÄN</t>
        </is>
      </c>
      <c r="G309" t="inlineStr">
        <is>
          <t>TÖREBODA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44907</v>
      </c>
      <c r="E310" s="1" t="n">
        <v>46292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8402-2024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45352</v>
      </c>
      <c r="E311" s="1" t="n">
        <v>46292</v>
      </c>
      <c r="F311" t="inlineStr">
        <is>
          <t>VÄSTRA GÖTALANDS LÄN</t>
        </is>
      </c>
      <c r="G311" t="inlineStr">
        <is>
          <t>TÖREBODA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56805-2023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46292</v>
      </c>
      <c r="F312" t="inlineStr">
        <is>
          <t>VÄSTRA GÖTALANDS LÄN</t>
        </is>
      </c>
      <c r="G312" t="inlineStr">
        <is>
          <t>TÖREBODA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46292</v>
      </c>
      <c r="F313" t="inlineStr">
        <is>
          <t>VÄSTRA GÖTALANDS LÄN</t>
        </is>
      </c>
      <c r="G313" t="inlineStr">
        <is>
          <t>TÖREBODA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20976-2025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45777</v>
      </c>
      <c r="E314" s="1" t="n">
        <v>46292</v>
      </c>
      <c r="F314" t="inlineStr">
        <is>
          <t>VÄSTRA GÖTALANDS LÄN</t>
        </is>
      </c>
      <c r="G314" t="inlineStr">
        <is>
          <t>TÖREBODA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46088-2024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46292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11730-2025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45727</v>
      </c>
      <c r="E316" s="1" t="n">
        <v>46292</v>
      </c>
      <c r="F316" t="inlineStr">
        <is>
          <t>VÄSTRA GÖTALANDS LÄN</t>
        </is>
      </c>
      <c r="G316" t="inlineStr">
        <is>
          <t>TÖREBODA</t>
        </is>
      </c>
      <c r="I316" t="n">
        <v>11.2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45713</v>
      </c>
      <c r="E317" s="1" t="n">
        <v>46292</v>
      </c>
      <c r="F317" t="inlineStr">
        <is>
          <t>VÄSTRA GÖTALANDS LÄN</t>
        </is>
      </c>
      <c r="G317" t="inlineStr">
        <is>
          <t>TÖREBODA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12328-2025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45730</v>
      </c>
      <c r="E318" s="1" t="n">
        <v>46292</v>
      </c>
      <c r="F318" t="inlineStr">
        <is>
          <t>VÄSTRA GÖTALANDS LÄN</t>
        </is>
      </c>
      <c r="G318" t="inlineStr">
        <is>
          <t>TÖREBODA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46292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46292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46292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46292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2026-09-27T02:00:09Z</dcterms:created>
  <dcterms:modified xmlns:dcterms="http://purl.org/dc/terms/" xmlns:xsi="http://www.w3.org/2001/XMLSchema-instance" xsi:type="dcterms:W3CDTF">2026-09-27T02:00:09Z</dcterms:modified>
</cp:coreProperties>
</file>