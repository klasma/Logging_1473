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46256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46256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46256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46256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46256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46256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46256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46256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46256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46256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46256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46256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46256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17540-2025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45757</v>
      </c>
      <c r="E19" s="1" t="n">
        <v>46256</v>
      </c>
      <c r="F19" t="inlineStr">
        <is>
          <t>VÄSTRA GÖTALANDS LÄN</t>
        </is>
      </c>
      <c r="G19" t="inlineStr">
        <is>
          <t>TÖREBODA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Vattenfladdermus</t>
        </is>
      </c>
      <c r="W19">
        <f>HYPERLINK("https://klasma.github.io/Logging_1473/artfynd/A 17540-2025 artfynd.xlsx", "A 17540-2025")</f>
        <v/>
      </c>
      <c r="X19">
        <f>HYPERLINK("https://klasma.github.io/Logging_1473/kartor/A 17540-2025 karta.png", "A 17540-2025")</f>
        <v/>
      </c>
      <c r="Y19">
        <f>HYPERLINK("https://klasma.github.io/Logging_1473/kartor_geotiff/A 17540-2025 georefererad karta.tif", "A 17540-2025")</f>
        <v/>
      </c>
      <c r="AA19">
        <f>HYPERLINK("https://klasma.github.io/Logging_1473/klagomål/A 17540-2025 FSC-klagomål.docx", "A 17540-2025")</f>
        <v/>
      </c>
      <c r="AB19">
        <f>HYPERLINK("https://klasma.github.io/Logging_1473/klagomålsmail/A 17540-2025 FSC-klagomål mail.docx", "A 17540-2025")</f>
        <v/>
      </c>
      <c r="AC19">
        <f>HYPERLINK("https://klasma.github.io/Logging_1473/tillsyn/A 17540-2025 tillsynsbegäran.docx", "A 17540-2025")</f>
        <v/>
      </c>
      <c r="AD19">
        <f>HYPERLINK("https://klasma.github.io/Logging_1473/tillsynsmail/A 17540-2025 tillsynsbegäran mail.docx", "A 17540-2025")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46256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49169-2025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45938</v>
      </c>
      <c r="E21" s="1" t="n">
        <v>46256</v>
      </c>
      <c r="F21" t="inlineStr">
        <is>
          <t>VÄSTRA GÖTALANDS LÄN</t>
        </is>
      </c>
      <c r="G21" t="inlineStr">
        <is>
          <t>TÖREBODA</t>
        </is>
      </c>
      <c r="I21" t="n">
        <v>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49169-2025 artfynd.xlsx", "A 49169-2025")</f>
        <v/>
      </c>
      <c r="X21">
        <f>HYPERLINK("https://klasma.github.io/Logging_1473/kartor/A 49169-2025 karta.png", "A 49169-2025")</f>
        <v/>
      </c>
      <c r="Y21">
        <f>HYPERLINK("https://klasma.github.io/Logging_1473/kartor_geotiff/A 49169-2025 georefererad karta.tif", "A 49169-2025")</f>
        <v/>
      </c>
      <c r="AA21">
        <f>HYPERLINK("https://klasma.github.io/Logging_1473/klagomål/A 49169-2025 FSC-klagomål.docx", "A 49169-2025")</f>
        <v/>
      </c>
      <c r="AB21">
        <f>HYPERLINK("https://klasma.github.io/Logging_1473/klagomålsmail/A 49169-2025 FSC-klagomål mail.docx", "A 49169-2025")</f>
        <v/>
      </c>
      <c r="AC21">
        <f>HYPERLINK("https://klasma.github.io/Logging_1473/tillsyn/A 49169-2025 tillsynsbegäran.docx", "A 49169-2025")</f>
        <v/>
      </c>
      <c r="AD21">
        <f>HYPERLINK("https://klasma.github.io/Logging_1473/tillsynsmail/A 49169-2025 tillsynsbegäran mail.docx", "A 49169-2025")</f>
        <v/>
      </c>
      <c r="AE21">
        <f>HYPERLINK("https://klasma.github.io/Logging_1473/fåglar/A 49169-2025 prioriterade fågelarter.docx", "A 49169-2025")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46256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58097-2024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46256</v>
      </c>
      <c r="F23" t="inlineStr">
        <is>
          <t>VÄSTRA GÖTALANDS LÄN</t>
        </is>
      </c>
      <c r="G23" t="inlineStr">
        <is>
          <t>TÖREBODA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Vattenfladdermus</t>
        </is>
      </c>
      <c r="W23">
        <f>HYPERLINK("https://klasma.github.io/Logging_1473/artfynd/A 58097-2024 artfynd.xlsx", "A 58097-2024")</f>
        <v/>
      </c>
      <c r="X23">
        <f>HYPERLINK("https://klasma.github.io/Logging_1473/kartor/A 58097-2024 karta.png", "A 58097-2024")</f>
        <v/>
      </c>
      <c r="Y23">
        <f>HYPERLINK("https://klasma.github.io/Logging_1473/kartor_geotiff/A 58097-2024 georefererad karta.tif", "A 58097-2024")</f>
        <v/>
      </c>
      <c r="AA23">
        <f>HYPERLINK("https://klasma.github.io/Logging_1473/klagomål/A 58097-2024 FSC-klagomål.docx", "A 58097-2024")</f>
        <v/>
      </c>
      <c r="AB23">
        <f>HYPERLINK("https://klasma.github.io/Logging_1473/klagomålsmail/A 58097-2024 FSC-klagomål mail.docx", "A 58097-2024")</f>
        <v/>
      </c>
      <c r="AC23">
        <f>HYPERLINK("https://klasma.github.io/Logging_1473/tillsyn/A 58097-2024 tillsynsbegäran.docx", "A 58097-2024")</f>
        <v/>
      </c>
      <c r="AD23">
        <f>HYPERLINK("https://klasma.github.io/Logging_1473/tillsynsmail/A 58097-2024 tillsynsbegäran mail.docx", "A 58097-2024")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46256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46256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46256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46256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46256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46256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46256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46256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46256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46256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46256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46256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46256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46256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46256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46256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46256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46256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46256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46256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46256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46256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46256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46256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46256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46256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46256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46256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46256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46256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46256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46256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46256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46256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46256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46256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46256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46256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46256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44978</v>
      </c>
      <c r="E63" s="1" t="n">
        <v>46256</v>
      </c>
      <c r="F63" t="inlineStr">
        <is>
          <t>VÄSTRA GÖTALANDS LÄN</t>
        </is>
      </c>
      <c r="G63" t="inlineStr">
        <is>
          <t>TÖREBODA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46256</v>
      </c>
      <c r="F64" t="inlineStr">
        <is>
          <t>VÄSTRA GÖTALANDS LÄN</t>
        </is>
      </c>
      <c r="G64" t="inlineStr">
        <is>
          <t>TÖREBODA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45885</v>
      </c>
      <c r="E65" s="1" t="n">
        <v>46256</v>
      </c>
      <c r="F65" t="inlineStr">
        <is>
          <t>VÄSTRA GÖTALANDS LÄN</t>
        </is>
      </c>
      <c r="G65" t="inlineStr">
        <is>
          <t>TÖREBODA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46256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Övriga statliga verk och myndigheter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44756</v>
      </c>
      <c r="E67" s="1" t="n">
        <v>46256</v>
      </c>
      <c r="F67" t="inlineStr">
        <is>
          <t>VÄSTRA GÖTALANDS LÄN</t>
        </is>
      </c>
      <c r="G67" t="inlineStr">
        <is>
          <t>TÖREBODA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26941-2025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45811</v>
      </c>
      <c r="E68" s="1" t="n">
        <v>46256</v>
      </c>
      <c r="F68" t="inlineStr">
        <is>
          <t>VÄSTRA GÖTALANDS LÄN</t>
        </is>
      </c>
      <c r="G68" t="inlineStr">
        <is>
          <t>TÖREBODA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46256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46256</v>
      </c>
      <c r="F70" t="inlineStr">
        <is>
          <t>VÄSTRA GÖTALANDS LÄN</t>
        </is>
      </c>
      <c r="G70" t="inlineStr">
        <is>
          <t>TÖREBODA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45142</v>
      </c>
      <c r="E71" s="1" t="n">
        <v>46256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Sveaskog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46256</v>
      </c>
      <c r="F72" t="inlineStr">
        <is>
          <t>VÄSTRA GÖTALANDS LÄN</t>
        </is>
      </c>
      <c r="G72" t="inlineStr">
        <is>
          <t>TÖREBODA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46256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Kommuner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45579</v>
      </c>
      <c r="E74" s="1" t="n">
        <v>46256</v>
      </c>
      <c r="F74" t="inlineStr">
        <is>
          <t>VÄSTRA GÖTALANDS LÄN</t>
        </is>
      </c>
      <c r="G74" t="inlineStr">
        <is>
          <t>TÖREBODA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46256</v>
      </c>
      <c r="F75" t="inlineStr">
        <is>
          <t>VÄSTRA GÖTALANDS LÄN</t>
        </is>
      </c>
      <c r="G75" t="inlineStr">
        <is>
          <t>TÖREBODA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45888</v>
      </c>
      <c r="E76" s="1" t="n">
        <v>46256</v>
      </c>
      <c r="F76" t="inlineStr">
        <is>
          <t>VÄSTRA GÖTALANDS LÄN</t>
        </is>
      </c>
      <c r="G76" t="inlineStr">
        <is>
          <t>TÖREBODA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46256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46256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46256</v>
      </c>
      <c r="F79" t="inlineStr">
        <is>
          <t>VÄSTRA GÖTALANDS LÄN</t>
        </is>
      </c>
      <c r="G79" t="inlineStr">
        <is>
          <t>TÖREBODA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46256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45552</v>
      </c>
      <c r="E81" s="1" t="n">
        <v>46256</v>
      </c>
      <c r="F81" t="inlineStr">
        <is>
          <t>VÄSTRA GÖTALANDS LÄN</t>
        </is>
      </c>
      <c r="G81" t="inlineStr">
        <is>
          <t>TÖREBODA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44901</v>
      </c>
      <c r="E82" s="1" t="n">
        <v>46256</v>
      </c>
      <c r="F82" t="inlineStr">
        <is>
          <t>VÄSTRA GÖTALANDS LÄN</t>
        </is>
      </c>
      <c r="G82" t="inlineStr">
        <is>
          <t>TÖREBODA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45457</v>
      </c>
      <c r="E83" s="1" t="n">
        <v>46256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statliga verk och myndigheter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44924</v>
      </c>
      <c r="E84" s="1" t="n">
        <v>46256</v>
      </c>
      <c r="F84" t="inlineStr">
        <is>
          <t>VÄSTRA GÖTALANDS LÄN</t>
        </is>
      </c>
      <c r="G84" t="inlineStr">
        <is>
          <t>TÖREBODA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45076</v>
      </c>
      <c r="E85" s="1" t="n">
        <v>46256</v>
      </c>
      <c r="F85" t="inlineStr">
        <is>
          <t>VÄSTRA GÖTALANDS LÄN</t>
        </is>
      </c>
      <c r="G85" t="inlineStr">
        <is>
          <t>TÖREBODA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54734-2023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45236</v>
      </c>
      <c r="E86" s="1" t="n">
        <v>46256</v>
      </c>
      <c r="F86" t="inlineStr">
        <is>
          <t>VÄSTRA GÖTALANDS LÄN</t>
        </is>
      </c>
      <c r="G86" t="inlineStr">
        <is>
          <t>TÖREBODA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46256</v>
      </c>
      <c r="F87" t="inlineStr">
        <is>
          <t>VÄSTRA GÖTALANDS LÄN</t>
        </is>
      </c>
      <c r="G87" t="inlineStr">
        <is>
          <t>TÖREBODA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46256</v>
      </c>
      <c r="F88" t="inlineStr">
        <is>
          <t>VÄSTRA GÖTALANDS LÄN</t>
        </is>
      </c>
      <c r="G88" t="inlineStr">
        <is>
          <t>TÖREBODA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46256</v>
      </c>
      <c r="F89" t="inlineStr">
        <is>
          <t>VÄSTRA GÖTALANDS LÄN</t>
        </is>
      </c>
      <c r="G89" t="inlineStr">
        <is>
          <t>TÖREBODA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46256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46256</v>
      </c>
      <c r="F91" t="inlineStr">
        <is>
          <t>VÄSTRA GÖTALANDS LÄN</t>
        </is>
      </c>
      <c r="G91" t="inlineStr">
        <is>
          <t>TÖREBODA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46256</v>
      </c>
      <c r="F92" t="inlineStr">
        <is>
          <t>VÄSTRA GÖTALANDS LÄN</t>
        </is>
      </c>
      <c r="G92" t="inlineStr">
        <is>
          <t>TÖREBODA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11680-2024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45373</v>
      </c>
      <c r="E93" s="1" t="n">
        <v>46256</v>
      </c>
      <c r="F93" t="inlineStr">
        <is>
          <t>VÄSTRA GÖTALANDS LÄN</t>
        </is>
      </c>
      <c r="G93" t="inlineStr">
        <is>
          <t>TÖREBODA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46256</v>
      </c>
      <c r="F94" t="inlineStr">
        <is>
          <t>VÄSTRA GÖTALANDS LÄN</t>
        </is>
      </c>
      <c r="G94" t="inlineStr">
        <is>
          <t>TÖREBODA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46256</v>
      </c>
      <c r="F95" t="inlineStr">
        <is>
          <t>VÄSTRA GÖTALANDS LÄN</t>
        </is>
      </c>
      <c r="G95" t="inlineStr">
        <is>
          <t>TÖREBODA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46256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43561-2024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46256</v>
      </c>
      <c r="F97" t="inlineStr">
        <is>
          <t>VÄSTRA GÖTALANDS LÄN</t>
        </is>
      </c>
      <c r="G97" t="inlineStr">
        <is>
          <t>TÖREBODA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46256</v>
      </c>
      <c r="F98" t="inlineStr">
        <is>
          <t>VÄSTRA GÖTALANDS LÄN</t>
        </is>
      </c>
      <c r="G98" t="inlineStr">
        <is>
          <t>TÖREBODA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46256</v>
      </c>
      <c r="F99" t="inlineStr">
        <is>
          <t>VÄSTRA GÖTALANDS LÄN</t>
        </is>
      </c>
      <c r="G99" t="inlineStr">
        <is>
          <t>TÖREBODA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46256</v>
      </c>
      <c r="F100" t="inlineStr">
        <is>
          <t>VÄSTRA GÖTALANDS LÄN</t>
        </is>
      </c>
      <c r="G100" t="inlineStr">
        <is>
          <t>TÖREBODA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46256</v>
      </c>
      <c r="F101" t="inlineStr">
        <is>
          <t>VÄSTRA GÖTALANDS LÄN</t>
        </is>
      </c>
      <c r="G101" t="inlineStr">
        <is>
          <t>TÖREBODA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46256</v>
      </c>
      <c r="F102" t="inlineStr">
        <is>
          <t>VÄSTRA GÖTALANDS LÄN</t>
        </is>
      </c>
      <c r="G102" t="inlineStr">
        <is>
          <t>TÖREBODA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45328</v>
      </c>
      <c r="E103" s="1" t="n">
        <v>46256</v>
      </c>
      <c r="F103" t="inlineStr">
        <is>
          <t>VÄSTRA GÖTALANDS LÄN</t>
        </is>
      </c>
      <c r="G103" t="inlineStr">
        <is>
          <t>TÖREBODA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46256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46256</v>
      </c>
      <c r="F105" t="inlineStr">
        <is>
          <t>VÄSTRA GÖTALANDS LÄN</t>
        </is>
      </c>
      <c r="G105" t="inlineStr">
        <is>
          <t>TÖREBODA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46256</v>
      </c>
      <c r="F106" t="inlineStr">
        <is>
          <t>VÄSTRA GÖTALANDS LÄN</t>
        </is>
      </c>
      <c r="G106" t="inlineStr">
        <is>
          <t>TÖREBODA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46256</v>
      </c>
      <c r="F107" t="inlineStr">
        <is>
          <t>VÄSTRA GÖTALANDS LÄN</t>
        </is>
      </c>
      <c r="G107" t="inlineStr">
        <is>
          <t>TÖREBODA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46256</v>
      </c>
      <c r="F108" t="inlineStr">
        <is>
          <t>VÄSTRA GÖTALANDS LÄN</t>
        </is>
      </c>
      <c r="G108" t="inlineStr">
        <is>
          <t>TÖREBODA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6446-2025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45699</v>
      </c>
      <c r="E109" s="1" t="n">
        <v>46256</v>
      </c>
      <c r="F109" t="inlineStr">
        <is>
          <t>VÄSTRA GÖTALANDS LÄN</t>
        </is>
      </c>
      <c r="G109" t="inlineStr">
        <is>
          <t>TÖREBODA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46256</v>
      </c>
      <c r="F110" t="inlineStr">
        <is>
          <t>VÄSTRA GÖTALANDS LÄN</t>
        </is>
      </c>
      <c r="G110" t="inlineStr">
        <is>
          <t>TÖREBODA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46256</v>
      </c>
      <c r="F111" t="inlineStr">
        <is>
          <t>VÄSTRA GÖTALANDS LÄN</t>
        </is>
      </c>
      <c r="G111" t="inlineStr">
        <is>
          <t>TÖREBODA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46256</v>
      </c>
      <c r="F112" t="inlineStr">
        <is>
          <t>VÄSTRA GÖTALANDS LÄN</t>
        </is>
      </c>
      <c r="G112" t="inlineStr">
        <is>
          <t>TÖREBODA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46256</v>
      </c>
      <c r="F113" t="inlineStr">
        <is>
          <t>VÄSTRA GÖTALANDS LÄN</t>
        </is>
      </c>
      <c r="G113" t="inlineStr">
        <is>
          <t>TÖREBODA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45077</v>
      </c>
      <c r="E114" s="1" t="n">
        <v>46256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46256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46256</v>
      </c>
      <c r="F116" t="inlineStr">
        <is>
          <t>VÄSTRA GÖTALANDS LÄN</t>
        </is>
      </c>
      <c r="G116" t="inlineStr">
        <is>
          <t>TÖREBODA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46256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46256</v>
      </c>
      <c r="F118" t="inlineStr">
        <is>
          <t>VÄSTRA GÖTALANDS LÄN</t>
        </is>
      </c>
      <c r="G118" t="inlineStr">
        <is>
          <t>TÖREBODA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46256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46256</v>
      </c>
      <c r="F120" t="inlineStr">
        <is>
          <t>VÄSTRA GÖTALANDS LÄN</t>
        </is>
      </c>
      <c r="G120" t="inlineStr">
        <is>
          <t>TÖREBODA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45082</v>
      </c>
      <c r="E121" s="1" t="n">
        <v>46256</v>
      </c>
      <c r="F121" t="inlineStr">
        <is>
          <t>VÄSTRA GÖTALANDS LÄN</t>
        </is>
      </c>
      <c r="G121" t="inlineStr">
        <is>
          <t>TÖREBODA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46256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46256</v>
      </c>
      <c r="F123" t="inlineStr">
        <is>
          <t>VÄSTRA GÖTALANDS LÄN</t>
        </is>
      </c>
      <c r="G123" t="inlineStr">
        <is>
          <t>TÖREBODA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46256</v>
      </c>
      <c r="F124" t="inlineStr">
        <is>
          <t>VÄSTRA GÖTALANDS LÄN</t>
        </is>
      </c>
      <c r="G124" t="inlineStr">
        <is>
          <t>TÖREBODA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46256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45651</v>
      </c>
      <c r="E126" s="1" t="n">
        <v>46256</v>
      </c>
      <c r="F126" t="inlineStr">
        <is>
          <t>VÄSTRA GÖTALANDS LÄN</t>
        </is>
      </c>
      <c r="G126" t="inlineStr">
        <is>
          <t>TÖREBODA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46256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46256</v>
      </c>
      <c r="F128" t="inlineStr">
        <is>
          <t>VÄSTRA GÖTALANDS LÄN</t>
        </is>
      </c>
      <c r="G128" t="inlineStr">
        <is>
          <t>TÖREBODA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45352</v>
      </c>
      <c r="E129" s="1" t="n">
        <v>46256</v>
      </c>
      <c r="F129" t="inlineStr">
        <is>
          <t>VÄSTRA GÖTALANDS LÄN</t>
        </is>
      </c>
      <c r="G129" t="inlineStr">
        <is>
          <t>TÖREBODA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46256</v>
      </c>
      <c r="F130" t="inlineStr">
        <is>
          <t>VÄSTRA GÖTALANDS LÄN</t>
        </is>
      </c>
      <c r="G130" t="inlineStr">
        <is>
          <t>TÖREBODA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46256</v>
      </c>
      <c r="F131" t="inlineStr">
        <is>
          <t>VÄSTRA GÖTALANDS LÄN</t>
        </is>
      </c>
      <c r="G131" t="inlineStr">
        <is>
          <t>TÖREBODA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46256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46256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46256</v>
      </c>
      <c r="F134" t="inlineStr">
        <is>
          <t>VÄSTRA GÖTALANDS LÄN</t>
        </is>
      </c>
      <c r="G134" t="inlineStr">
        <is>
          <t>TÖREBODA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46256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46256</v>
      </c>
      <c r="F136" t="inlineStr">
        <is>
          <t>VÄSTRA GÖTALANDS LÄN</t>
        </is>
      </c>
      <c r="G136" t="inlineStr">
        <is>
          <t>TÖREBODA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46256</v>
      </c>
      <c r="F137" t="inlineStr">
        <is>
          <t>VÄSTRA GÖTALANDS LÄN</t>
        </is>
      </c>
      <c r="G137" t="inlineStr">
        <is>
          <t>TÖREBODA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46256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46256</v>
      </c>
      <c r="F139" t="inlineStr">
        <is>
          <t>VÄSTRA GÖTALANDS LÄN</t>
        </is>
      </c>
      <c r="G139" t="inlineStr">
        <is>
          <t>TÖREBODA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46256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46256</v>
      </c>
      <c r="F141" t="inlineStr">
        <is>
          <t>VÄSTRA GÖTALANDS LÄN</t>
        </is>
      </c>
      <c r="G141" t="inlineStr">
        <is>
          <t>TÖREBODA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45555</v>
      </c>
      <c r="E142" s="1" t="n">
        <v>46256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46256</v>
      </c>
      <c r="F143" t="inlineStr">
        <is>
          <t>VÄSTRA GÖTALANDS LÄN</t>
        </is>
      </c>
      <c r="G143" t="inlineStr">
        <is>
          <t>TÖREBODA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46256</v>
      </c>
      <c r="F144" t="inlineStr">
        <is>
          <t>VÄSTRA GÖTALANDS LÄN</t>
        </is>
      </c>
      <c r="G144" t="inlineStr">
        <is>
          <t>TÖREBODA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46256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46256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46256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46256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46256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33534-2025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46256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46256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46256</v>
      </c>
      <c r="F152" t="inlineStr">
        <is>
          <t>VÄSTRA GÖTALANDS LÄN</t>
        </is>
      </c>
      <c r="G152" t="inlineStr">
        <is>
          <t>TÖREBODA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46256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46256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46256</v>
      </c>
      <c r="F155" t="inlineStr">
        <is>
          <t>VÄSTRA GÖTALANDS LÄN</t>
        </is>
      </c>
      <c r="G155" t="inlineStr">
        <is>
          <t>TÖREBODA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46256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46256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46256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statliga verk och myndigheter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46256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46256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46256</v>
      </c>
      <c r="F161" t="inlineStr">
        <is>
          <t>VÄSTRA GÖTALANDS LÄN</t>
        </is>
      </c>
      <c r="G161" t="inlineStr">
        <is>
          <t>TÖREBODA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45961</v>
      </c>
      <c r="E162" s="1" t="n">
        <v>46256</v>
      </c>
      <c r="F162" t="inlineStr">
        <is>
          <t>VÄSTRA GÖTALANDS LÄN</t>
        </is>
      </c>
      <c r="G162" t="inlineStr">
        <is>
          <t>TÖREBODA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46256</v>
      </c>
      <c r="F163" t="inlineStr">
        <is>
          <t>VÄSTRA GÖTALANDS LÄN</t>
        </is>
      </c>
      <c r="G163" t="inlineStr">
        <is>
          <t>TÖREBODA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46256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55593-2025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45971</v>
      </c>
      <c r="E165" s="1" t="n">
        <v>46256</v>
      </c>
      <c r="F165" t="inlineStr">
        <is>
          <t>VÄSTRA GÖTALANDS LÄN</t>
        </is>
      </c>
      <c r="G165" t="inlineStr">
        <is>
          <t>TÖREBODA</t>
        </is>
      </c>
      <c r="I165" t="n">
        <v>20.8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46256</v>
      </c>
      <c r="F166" t="inlineStr">
        <is>
          <t>VÄSTRA GÖTALANDS LÄN</t>
        </is>
      </c>
      <c r="G166" t="inlineStr">
        <is>
          <t>TÖREBODA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46256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46256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55766-2025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45972</v>
      </c>
      <c r="E169" s="1" t="n">
        <v>46256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46256</v>
      </c>
      <c r="F170" t="inlineStr">
        <is>
          <t>VÄSTRA GÖTALANDS LÄN</t>
        </is>
      </c>
      <c r="G170" t="inlineStr">
        <is>
          <t>TÖREBODA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46256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46256</v>
      </c>
      <c r="F172" t="inlineStr">
        <is>
          <t>VÄSTRA GÖTALANDS LÄN</t>
        </is>
      </c>
      <c r="G172" t="inlineStr">
        <is>
          <t>TÖREBODA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46256</v>
      </c>
      <c r="F173" t="inlineStr">
        <is>
          <t>VÄSTRA GÖTALANDS LÄN</t>
        </is>
      </c>
      <c r="G173" t="inlineStr">
        <is>
          <t>TÖREBODA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45627</v>
      </c>
      <c r="E174" s="1" t="n">
        <v>46256</v>
      </c>
      <c r="F174" t="inlineStr">
        <is>
          <t>VÄSTRA GÖTALANDS LÄN</t>
        </is>
      </c>
      <c r="G174" t="inlineStr">
        <is>
          <t>TÖREBODA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46256</v>
      </c>
      <c r="F175" t="inlineStr">
        <is>
          <t>VÄSTRA GÖTALANDS LÄN</t>
        </is>
      </c>
      <c r="G175" t="inlineStr">
        <is>
          <t>TÖREBODA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46256</v>
      </c>
      <c r="F176" t="inlineStr">
        <is>
          <t>VÄSTRA GÖTALANDS LÄN</t>
        </is>
      </c>
      <c r="G176" t="inlineStr">
        <is>
          <t>TÖREBODA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46256</v>
      </c>
      <c r="F177" t="inlineStr">
        <is>
          <t>VÄSTRA GÖTALANDS LÄN</t>
        </is>
      </c>
      <c r="G177" t="inlineStr">
        <is>
          <t>TÖREBODA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45282</v>
      </c>
      <c r="E178" s="1" t="n">
        <v>46256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45156</v>
      </c>
      <c r="E179" s="1" t="n">
        <v>46256</v>
      </c>
      <c r="F179" t="inlineStr">
        <is>
          <t>VÄSTRA GÖTALANDS LÄN</t>
        </is>
      </c>
      <c r="G179" t="inlineStr">
        <is>
          <t>TÖREBODA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44988</v>
      </c>
      <c r="E180" s="1" t="n">
        <v>46256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44987</v>
      </c>
      <c r="E181" s="1" t="n">
        <v>46256</v>
      </c>
      <c r="F181" t="inlineStr">
        <is>
          <t>VÄSTRA GÖTALANDS LÄN</t>
        </is>
      </c>
      <c r="G181" t="inlineStr">
        <is>
          <t>TÖREBODA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46256</v>
      </c>
      <c r="F182" t="inlineStr">
        <is>
          <t>VÄSTRA GÖTALANDS LÄN</t>
        </is>
      </c>
      <c r="G182" t="inlineStr">
        <is>
          <t>TÖREBODA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46256</v>
      </c>
      <c r="F183" t="inlineStr">
        <is>
          <t>VÄSTRA GÖTALANDS LÄN</t>
        </is>
      </c>
      <c r="G183" t="inlineStr">
        <is>
          <t>TÖREBODA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46256</v>
      </c>
      <c r="F184" t="inlineStr">
        <is>
          <t>VÄSTRA GÖTALANDS LÄN</t>
        </is>
      </c>
      <c r="G184" t="inlineStr">
        <is>
          <t>TÖREBODA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11683-2024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45373</v>
      </c>
      <c r="E185" s="1" t="n">
        <v>46256</v>
      </c>
      <c r="F185" t="inlineStr">
        <is>
          <t>VÄSTRA GÖTALANDS LÄN</t>
        </is>
      </c>
      <c r="G185" t="inlineStr">
        <is>
          <t>TÖREBODA</t>
        </is>
      </c>
      <c r="I185" t="n">
        <v>23.8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46256</v>
      </c>
      <c r="F186" t="inlineStr">
        <is>
          <t>VÄSTRA GÖTALANDS LÄN</t>
        </is>
      </c>
      <c r="G186" t="inlineStr">
        <is>
          <t>TÖREBODA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51040-2022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44868</v>
      </c>
      <c r="E187" s="1" t="n">
        <v>46256</v>
      </c>
      <c r="F187" t="inlineStr">
        <is>
          <t>VÄSTRA GÖTALANDS LÄN</t>
        </is>
      </c>
      <c r="G187" t="inlineStr">
        <is>
          <t>TÖREBODA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45049</v>
      </c>
      <c r="E188" s="1" t="n">
        <v>46256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45750</v>
      </c>
      <c r="E189" s="1" t="n">
        <v>46256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46256</v>
      </c>
      <c r="F190" t="inlineStr">
        <is>
          <t>VÄSTRA GÖTALANDS LÄN</t>
        </is>
      </c>
      <c r="G190" t="inlineStr">
        <is>
          <t>TÖREBODA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46256</v>
      </c>
      <c r="F191" t="inlineStr">
        <is>
          <t>VÄSTRA GÖTALANDS LÄN</t>
        </is>
      </c>
      <c r="G191" t="inlineStr">
        <is>
          <t>TÖREBODA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45369</v>
      </c>
      <c r="E192" s="1" t="n">
        <v>46256</v>
      </c>
      <c r="F192" t="inlineStr">
        <is>
          <t>VÄSTRA GÖTALANDS LÄN</t>
        </is>
      </c>
      <c r="G192" t="inlineStr">
        <is>
          <t>TÖREBODA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46256</v>
      </c>
      <c r="F193" t="inlineStr">
        <is>
          <t>VÄSTRA GÖTALANDS LÄN</t>
        </is>
      </c>
      <c r="G193" t="inlineStr">
        <is>
          <t>TÖREBODA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46256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45133</v>
      </c>
      <c r="E195" s="1" t="n">
        <v>46256</v>
      </c>
      <c r="F195" t="inlineStr">
        <is>
          <t>VÄSTRA GÖTALANDS LÄN</t>
        </is>
      </c>
      <c r="G195" t="inlineStr">
        <is>
          <t>TÖREBODA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45056</v>
      </c>
      <c r="E196" s="1" t="n">
        <v>46256</v>
      </c>
      <c r="F196" t="inlineStr">
        <is>
          <t>VÄSTRA GÖTALANDS LÄN</t>
        </is>
      </c>
      <c r="G196" t="inlineStr">
        <is>
          <t>TÖREBODA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46256</v>
      </c>
      <c r="F197" t="inlineStr">
        <is>
          <t>VÄSTRA GÖTALANDS LÄN</t>
        </is>
      </c>
      <c r="G197" t="inlineStr">
        <is>
          <t>TÖREBODA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46256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46256</v>
      </c>
      <c r="F199" t="inlineStr">
        <is>
          <t>VÄSTRA GÖTALANDS LÄN</t>
        </is>
      </c>
      <c r="G199" t="inlineStr">
        <is>
          <t>TÖREBODA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46256</v>
      </c>
      <c r="F200" t="inlineStr">
        <is>
          <t>VÄSTRA GÖTALANDS LÄN</t>
        </is>
      </c>
      <c r="G200" t="inlineStr">
        <is>
          <t>TÖREBODA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46256</v>
      </c>
      <c r="F201" t="inlineStr">
        <is>
          <t>VÄSTRA GÖTALANDS LÄN</t>
        </is>
      </c>
      <c r="G201" t="inlineStr">
        <is>
          <t>TÖREBODA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45002</v>
      </c>
      <c r="E202" s="1" t="n">
        <v>46256</v>
      </c>
      <c r="F202" t="inlineStr">
        <is>
          <t>VÄSTRA GÖTALANDS LÄN</t>
        </is>
      </c>
      <c r="G202" t="inlineStr">
        <is>
          <t>TÖREBODA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46256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46256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46256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44950</v>
      </c>
      <c r="E206" s="1" t="n">
        <v>46256</v>
      </c>
      <c r="F206" t="inlineStr">
        <is>
          <t>VÄSTRA GÖTALANDS LÄN</t>
        </is>
      </c>
      <c r="G206" t="inlineStr">
        <is>
          <t>TÖREBODA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44740</v>
      </c>
      <c r="E207" s="1" t="n">
        <v>46256</v>
      </c>
      <c r="F207" t="inlineStr">
        <is>
          <t>VÄSTRA GÖTALANDS LÄN</t>
        </is>
      </c>
      <c r="G207" t="inlineStr">
        <is>
          <t>TÖREBODA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46256</v>
      </c>
      <c r="F208" t="inlineStr">
        <is>
          <t>VÄSTRA GÖTALANDS LÄN</t>
        </is>
      </c>
      <c r="G208" t="inlineStr">
        <is>
          <t>TÖREBODA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46256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46256</v>
      </c>
      <c r="F210" t="inlineStr">
        <is>
          <t>VÄSTRA GÖTALANDS LÄN</t>
        </is>
      </c>
      <c r="G210" t="inlineStr">
        <is>
          <t>TÖREBODA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46256</v>
      </c>
      <c r="F211" t="inlineStr">
        <is>
          <t>VÄSTRA GÖTALANDS LÄN</t>
        </is>
      </c>
      <c r="G211" t="inlineStr">
        <is>
          <t>TÖREBODA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56831-2022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44894</v>
      </c>
      <c r="E212" s="1" t="n">
        <v>46256</v>
      </c>
      <c r="F212" t="inlineStr">
        <is>
          <t>VÄSTRA GÖTALANDS LÄN</t>
        </is>
      </c>
      <c r="G212" t="inlineStr">
        <is>
          <t>TÖREBODA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45556</v>
      </c>
      <c r="E213" s="1" t="n">
        <v>46256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45627</v>
      </c>
      <c r="E214" s="1" t="n">
        <v>46256</v>
      </c>
      <c r="F214" t="inlineStr">
        <is>
          <t>VÄSTRA GÖTALANDS LÄN</t>
        </is>
      </c>
      <c r="G214" t="inlineStr">
        <is>
          <t>TÖREBODA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46256</v>
      </c>
      <c r="F215" t="inlineStr">
        <is>
          <t>VÄSTRA GÖTALANDS LÄN</t>
        </is>
      </c>
      <c r="G215" t="inlineStr">
        <is>
          <t>TÖREBODA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45414</v>
      </c>
      <c r="E216" s="1" t="n">
        <v>46256</v>
      </c>
      <c r="F216" t="inlineStr">
        <is>
          <t>VÄSTRA GÖTALANDS LÄN</t>
        </is>
      </c>
      <c r="G216" t="inlineStr">
        <is>
          <t>TÖREBODA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46256</v>
      </c>
      <c r="F217" t="inlineStr">
        <is>
          <t>VÄSTRA GÖTALANDS LÄN</t>
        </is>
      </c>
      <c r="G217" t="inlineStr">
        <is>
          <t>TÖREBODA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46256</v>
      </c>
      <c r="F218" t="inlineStr">
        <is>
          <t>VÄSTRA GÖTALANDS LÄN</t>
        </is>
      </c>
      <c r="G218" t="inlineStr">
        <is>
          <t>TÖREBODA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46256</v>
      </c>
      <c r="F219" t="inlineStr">
        <is>
          <t>VÄSTRA GÖTALANDS LÄN</t>
        </is>
      </c>
      <c r="G219" t="inlineStr">
        <is>
          <t>TÖREBODA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45481</v>
      </c>
      <c r="E220" s="1" t="n">
        <v>46256</v>
      </c>
      <c r="F220" t="inlineStr">
        <is>
          <t>VÄSTRA GÖTALANDS LÄN</t>
        </is>
      </c>
      <c r="G220" t="inlineStr">
        <is>
          <t>TÖREBODA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45350</v>
      </c>
      <c r="E221" s="1" t="n">
        <v>46256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46256</v>
      </c>
      <c r="F222" t="inlineStr">
        <is>
          <t>VÄSTRA GÖTALANDS LÄN</t>
        </is>
      </c>
      <c r="G222" t="inlineStr">
        <is>
          <t>TÖREBODA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46256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46256</v>
      </c>
      <c r="F224" t="inlineStr">
        <is>
          <t>VÄSTRA GÖTALANDS LÄN</t>
        </is>
      </c>
      <c r="G224" t="inlineStr">
        <is>
          <t>TÖREBODA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45191</v>
      </c>
      <c r="E225" s="1" t="n">
        <v>46256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46256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46256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46256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46256</v>
      </c>
      <c r="F229" t="inlineStr">
        <is>
          <t>VÄSTRA GÖTALANDS LÄN</t>
        </is>
      </c>
      <c r="G229" t="inlineStr">
        <is>
          <t>TÖREBODA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46256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46256</v>
      </c>
      <c r="F231" t="inlineStr">
        <is>
          <t>VÄSTRA GÖTALANDS LÄN</t>
        </is>
      </c>
      <c r="G231" t="inlineStr">
        <is>
          <t>TÖREBODA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46256</v>
      </c>
      <c r="F232" t="inlineStr">
        <is>
          <t>VÄSTRA GÖTALANDS LÄN</t>
        </is>
      </c>
      <c r="G232" t="inlineStr">
        <is>
          <t>TÖREBODA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45885</v>
      </c>
      <c r="E233" s="1" t="n">
        <v>46256</v>
      </c>
      <c r="F233" t="inlineStr">
        <is>
          <t>VÄSTRA GÖTALANDS LÄN</t>
        </is>
      </c>
      <c r="G233" t="inlineStr">
        <is>
          <t>TÖREBODA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45885</v>
      </c>
      <c r="E234" s="1" t="n">
        <v>46256</v>
      </c>
      <c r="F234" t="inlineStr">
        <is>
          <t>VÄSTRA GÖTALANDS LÄN</t>
        </is>
      </c>
      <c r="G234" t="inlineStr">
        <is>
          <t>TÖREBODA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46256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46078</v>
      </c>
      <c r="E236" s="1" t="n">
        <v>46256</v>
      </c>
      <c r="F236" t="inlineStr">
        <is>
          <t>VÄSTRA GÖTALANDS LÄN</t>
        </is>
      </c>
      <c r="G236" t="inlineStr">
        <is>
          <t>TÖREBODA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46256</v>
      </c>
      <c r="F237" t="inlineStr">
        <is>
          <t>VÄSTRA GÖTALANDS LÄN</t>
        </is>
      </c>
      <c r="G237" t="inlineStr">
        <is>
          <t>TÖREBODA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46256</v>
      </c>
      <c r="F238" t="inlineStr">
        <is>
          <t>VÄSTRA GÖTALANDS LÄN</t>
        </is>
      </c>
      <c r="G238" t="inlineStr">
        <is>
          <t>TÖREBODA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46256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46256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46256</v>
      </c>
      <c r="F241" t="inlineStr">
        <is>
          <t>VÄSTRA GÖTALANDS LÄN</t>
        </is>
      </c>
      <c r="G241" t="inlineStr">
        <is>
          <t>TÖREBODA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46231</v>
      </c>
      <c r="E242" s="1" t="n">
        <v>46256</v>
      </c>
      <c r="F242" t="inlineStr">
        <is>
          <t>VÄSTRA GÖTALANDS LÄN</t>
        </is>
      </c>
      <c r="G242" t="inlineStr">
        <is>
          <t>TÖREBODA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45552</v>
      </c>
      <c r="E243" s="1" t="n">
        <v>46256</v>
      </c>
      <c r="F243" t="inlineStr">
        <is>
          <t>VÄSTRA GÖTALANDS LÄN</t>
        </is>
      </c>
      <c r="G243" t="inlineStr">
        <is>
          <t>TÖREBODA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46256</v>
      </c>
      <c r="F244" t="inlineStr">
        <is>
          <t>VÄSTRA GÖTALANDS LÄN</t>
        </is>
      </c>
      <c r="G244" t="inlineStr">
        <is>
          <t>TÖREBODA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46256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Aktiebolag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14557-2026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46256</v>
      </c>
      <c r="F246" t="inlineStr">
        <is>
          <t>VÄSTRA GÖTALANDS LÄN</t>
        </is>
      </c>
      <c r="G246" t="inlineStr">
        <is>
          <t>TÖREBODA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44903</v>
      </c>
      <c r="E247" s="1" t="n">
        <v>46256</v>
      </c>
      <c r="F247" t="inlineStr">
        <is>
          <t>VÄSTRA GÖTALANDS LÄN</t>
        </is>
      </c>
      <c r="G247" t="inlineStr">
        <is>
          <t>TÖREBODA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15567-2026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46106</v>
      </c>
      <c r="E248" s="1" t="n">
        <v>46256</v>
      </c>
      <c r="F248" t="inlineStr">
        <is>
          <t>VÄSTRA GÖTALANDS LÄN</t>
        </is>
      </c>
      <c r="G248" t="inlineStr">
        <is>
          <t>TÖREBODA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46256</v>
      </c>
      <c r="F249" t="inlineStr">
        <is>
          <t>VÄSTRA GÖTALANDS LÄN</t>
        </is>
      </c>
      <c r="G249" t="inlineStr">
        <is>
          <t>TÖREBODA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46256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44782</v>
      </c>
      <c r="E251" s="1" t="n">
        <v>46256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46100</v>
      </c>
      <c r="E252" s="1" t="n">
        <v>46256</v>
      </c>
      <c r="F252" t="inlineStr">
        <is>
          <t>VÄSTRA GÖTALANDS LÄN</t>
        </is>
      </c>
      <c r="G252" t="inlineStr">
        <is>
          <t>TÖREBODA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46256</v>
      </c>
      <c r="F253" t="inlineStr">
        <is>
          <t>VÄSTRA GÖTALANDS LÄN</t>
        </is>
      </c>
      <c r="G253" t="inlineStr">
        <is>
          <t>TÖREBODA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45246</v>
      </c>
      <c r="E254" s="1" t="n">
        <v>46256</v>
      </c>
      <c r="F254" t="inlineStr">
        <is>
          <t>VÄSTRA GÖTALANDS LÄN</t>
        </is>
      </c>
      <c r="G254" t="inlineStr">
        <is>
          <t>TÖREBODA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46134</v>
      </c>
      <c r="E255" s="1" t="n">
        <v>46256</v>
      </c>
      <c r="F255" t="inlineStr">
        <is>
          <t>VÄSTRA GÖTALANDS LÄN</t>
        </is>
      </c>
      <c r="G255" t="inlineStr">
        <is>
          <t>TÖREBODA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46256</v>
      </c>
      <c r="F256" t="inlineStr">
        <is>
          <t>VÄSTRA GÖTALANDS LÄN</t>
        </is>
      </c>
      <c r="G256" t="inlineStr">
        <is>
          <t>TÖREBODA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46256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46256</v>
      </c>
      <c r="F258" t="inlineStr">
        <is>
          <t>VÄSTRA GÖTALANDS LÄN</t>
        </is>
      </c>
      <c r="G258" t="inlineStr">
        <is>
          <t>TÖREBODA</t>
        </is>
      </c>
      <c r="I258" t="n">
        <v>28.9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57225-2021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44483</v>
      </c>
      <c r="E259" s="1" t="n">
        <v>46256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45750</v>
      </c>
      <c r="E260" s="1" t="n">
        <v>46256</v>
      </c>
      <c r="F260" t="inlineStr">
        <is>
          <t>VÄSTRA GÖTALANDS LÄN</t>
        </is>
      </c>
      <c r="G260" t="inlineStr">
        <is>
          <t>TÖREBODA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46251</v>
      </c>
      <c r="E261" s="1" t="n">
        <v>46256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46256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46256</v>
      </c>
      <c r="F263" t="inlineStr">
        <is>
          <t>VÄSTRA GÖTALANDS LÄN</t>
        </is>
      </c>
      <c r="G263" t="inlineStr">
        <is>
          <t>TÖREBODA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46256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46256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41627-2022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44827</v>
      </c>
      <c r="E266" s="1" t="n">
        <v>46256</v>
      </c>
      <c r="F266" t="inlineStr">
        <is>
          <t>VÄSTRA GÖTALANDS LÄN</t>
        </is>
      </c>
      <c r="G266" t="inlineStr">
        <is>
          <t>TÖREBODA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41632-2022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44827</v>
      </c>
      <c r="E267" s="1" t="n">
        <v>46256</v>
      </c>
      <c r="F267" t="inlineStr">
        <is>
          <t>VÄSTRA GÖTALANDS LÄN</t>
        </is>
      </c>
      <c r="G267" t="inlineStr">
        <is>
          <t>TÖREBODA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46256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30198-2026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46206</v>
      </c>
      <c r="E269" s="1" t="n">
        <v>46256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46256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46256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46256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45209</v>
      </c>
      <c r="E273" s="1" t="n">
        <v>46256</v>
      </c>
      <c r="F273" t="inlineStr">
        <is>
          <t>VÄSTRA GÖTALANDS LÄN</t>
        </is>
      </c>
      <c r="G273" t="inlineStr">
        <is>
          <t>TÖREBODA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46210</v>
      </c>
      <c r="E274" s="1" t="n">
        <v>46256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46256</v>
      </c>
      <c r="F275" t="inlineStr">
        <is>
          <t>VÄSTRA GÖTALANDS LÄN</t>
        </is>
      </c>
      <c r="G275" t="inlineStr">
        <is>
          <t>TÖREBODA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46256</v>
      </c>
      <c r="F276" t="inlineStr">
        <is>
          <t>VÄSTRA GÖTALANDS LÄN</t>
        </is>
      </c>
      <c r="G276" t="inlineStr">
        <is>
          <t>TÖREBODA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46256</v>
      </c>
      <c r="F277" t="inlineStr">
        <is>
          <t>VÄSTRA GÖTALANDS LÄN</t>
        </is>
      </c>
      <c r="G277" t="inlineStr">
        <is>
          <t>TÖREBODA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46256</v>
      </c>
      <c r="F278" t="inlineStr">
        <is>
          <t>VÄSTRA GÖTALANDS LÄN</t>
        </is>
      </c>
      <c r="G278" t="inlineStr">
        <is>
          <t>TÖREBODA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46256</v>
      </c>
      <c r="F279" t="inlineStr">
        <is>
          <t>VÄSTRA GÖTALANDS LÄN</t>
        </is>
      </c>
      <c r="G279" t="inlineStr">
        <is>
          <t>TÖREBODA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46256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46256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54621-2021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44473</v>
      </c>
      <c r="E282" s="1" t="n">
        <v>46256</v>
      </c>
      <c r="F282" t="inlineStr">
        <is>
          <t>VÄSTRA GÖTALANDS LÄN</t>
        </is>
      </c>
      <c r="G282" t="inlineStr">
        <is>
          <t>TÖREBODA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46256</v>
      </c>
      <c r="F283" t="inlineStr">
        <is>
          <t>VÄSTRA GÖTALANDS LÄN</t>
        </is>
      </c>
      <c r="G283" t="inlineStr">
        <is>
          <t>TÖREBODA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46256</v>
      </c>
      <c r="F284" t="inlineStr">
        <is>
          <t>VÄSTRA GÖTALANDS LÄN</t>
        </is>
      </c>
      <c r="G284" t="inlineStr">
        <is>
          <t>TÖREBODA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46256</v>
      </c>
      <c r="F285" t="inlineStr">
        <is>
          <t>VÄSTRA GÖTALANDS LÄN</t>
        </is>
      </c>
      <c r="G285" t="inlineStr">
        <is>
          <t>TÖREBODA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44937</v>
      </c>
      <c r="E286" s="1" t="n">
        <v>46256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statliga verk och myndigheter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44697</v>
      </c>
      <c r="E287" s="1" t="n">
        <v>46256</v>
      </c>
      <c r="F287" t="inlineStr">
        <is>
          <t>VÄSTRA GÖTALANDS LÄN</t>
        </is>
      </c>
      <c r="G287" t="inlineStr">
        <is>
          <t>TÖREBODA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46256</v>
      </c>
      <c r="F288" t="inlineStr">
        <is>
          <t>VÄSTRA GÖTALANDS LÄN</t>
        </is>
      </c>
      <c r="G288" t="inlineStr">
        <is>
          <t>TÖREBODA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46152</v>
      </c>
      <c r="E289" s="1" t="n">
        <v>46256</v>
      </c>
      <c r="F289" t="inlineStr">
        <is>
          <t>VÄSTRA GÖTALANDS LÄN</t>
        </is>
      </c>
      <c r="G289" t="inlineStr">
        <is>
          <t>TÖREBODA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46152</v>
      </c>
      <c r="E290" s="1" t="n">
        <v>46256</v>
      </c>
      <c r="F290" t="inlineStr">
        <is>
          <t>VÄSTRA GÖTALANDS LÄN</t>
        </is>
      </c>
      <c r="G290" t="inlineStr">
        <is>
          <t>TÖREBODA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46152</v>
      </c>
      <c r="E291" s="1" t="n">
        <v>46256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46152</v>
      </c>
      <c r="E292" s="1" t="n">
        <v>46256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46152</v>
      </c>
      <c r="E293" s="1" t="n">
        <v>46256</v>
      </c>
      <c r="F293" t="inlineStr">
        <is>
          <t>VÄSTRA GÖTALANDS LÄN</t>
        </is>
      </c>
      <c r="G293" t="inlineStr">
        <is>
          <t>TÖREBODA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46152</v>
      </c>
      <c r="E294" s="1" t="n">
        <v>46256</v>
      </c>
      <c r="F294" t="inlineStr">
        <is>
          <t>VÄSTRA GÖTALANDS LÄN</t>
        </is>
      </c>
      <c r="G294" t="inlineStr">
        <is>
          <t>TÖREBODA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46152</v>
      </c>
      <c r="E295" s="1" t="n">
        <v>46256</v>
      </c>
      <c r="F295" t="inlineStr">
        <is>
          <t>VÄSTRA GÖTALANDS LÄN</t>
        </is>
      </c>
      <c r="G295" t="inlineStr">
        <is>
          <t>TÖREBODA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46256</v>
      </c>
      <c r="F296" t="inlineStr">
        <is>
          <t>VÄSTRA GÖTALANDS LÄN</t>
        </is>
      </c>
      <c r="G296" t="inlineStr">
        <is>
          <t>TÖREBODA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28196-2022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44746</v>
      </c>
      <c r="E297" s="1" t="n">
        <v>46256</v>
      </c>
      <c r="F297" t="inlineStr">
        <is>
          <t>VÄSTRA GÖTALANDS LÄN</t>
        </is>
      </c>
      <c r="G297" t="inlineStr">
        <is>
          <t>TÖREBODA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46256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46256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46256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46256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46256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45493</v>
      </c>
      <c r="E303" s="1" t="n">
        <v>46256</v>
      </c>
      <c r="F303" t="inlineStr">
        <is>
          <t>VÄSTRA GÖTALANDS LÄN</t>
        </is>
      </c>
      <c r="G303" t="inlineStr">
        <is>
          <t>TÖREBODA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46256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46256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46256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46256</v>
      </c>
      <c r="F307" t="inlineStr">
        <is>
          <t>VÄSTRA GÖTALANDS LÄN</t>
        </is>
      </c>
      <c r="G307" t="inlineStr">
        <is>
          <t>TÖREBODA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46256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46256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Kyrkan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46256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46256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46256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46256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46256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2026-08-22T01:48:43Z</dcterms:created>
  <dcterms:modified xmlns:dcterms="http://purl.org/dc/terms/" xmlns:xsi="http://www.w3.org/2001/XMLSchema-instance" xsi:type="dcterms:W3CDTF">2026-08-22T01:48:43Z</dcterms:modified>
</cp:coreProperties>
</file>