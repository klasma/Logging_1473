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46222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V2">
        <f>HYPERLINK("https://klasma.github.io/Logging_1473/artfynd/S 4361-2024 artfynd.xlsx", "S 4361-2024")</f>
        <v/>
      </c>
      <c r="W2">
        <f>HYPERLINK("https://klasma.github.io/Logging_1473/kartor/S 4361-2024 karta.png", "S 4361-2024")</f>
        <v/>
      </c>
      <c r="Y2">
        <f>HYPERLINK("https://klasma.github.io/Logging_1473/klagomål/S 4361-2024 FSC-klagomål.docx", "S 4361-2024")</f>
        <v/>
      </c>
      <c r="Z2">
        <f>HYPERLINK("https://klasma.github.io/Logging_1473/klagomålsmail/S 4361-2024 FSC-klagomål mail.docx", "S 4361-2024")</f>
        <v/>
      </c>
      <c r="AA2">
        <f>HYPERLINK("https://klasma.github.io/Logging_1473/tillsyn/S 4361-2024 tillsynsbegäran.docx", "S 4361-2024")</f>
        <v/>
      </c>
      <c r="AB2">
        <f>HYPERLINK("https://klasma.github.io/Logging_1473/tillsynsmail/S 4361-2024 tillsynsbegäran mail.docx", "S 4361-2024")</f>
        <v/>
      </c>
      <c r="AC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46222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s="2" t="inlineStr">
        <is>
          <t>Brunlångöra
Nordfladdermus
Dvärgpipistrell
Havsörn
Större brunfladdermus
Vattenfladdermus
Vanlig groda</t>
        </is>
      </c>
      <c r="V3">
        <f>HYPERLINK("https://klasma.github.io/Logging_1473/artfynd/S 3878-2022 artfynd.xlsx", "S 3878-2022")</f>
        <v/>
      </c>
      <c r="W3">
        <f>HYPERLINK("https://klasma.github.io/Logging_1473/kartor/S 3878-2022 karta.png", "S 3878-2022")</f>
        <v/>
      </c>
      <c r="Y3">
        <f>HYPERLINK("https://klasma.github.io/Logging_1473/klagomål/S 3878-2022 FSC-klagomål.docx", "S 3878-2022")</f>
        <v/>
      </c>
      <c r="Z3">
        <f>HYPERLINK("https://klasma.github.io/Logging_1473/klagomålsmail/S 3878-2022 FSC-klagomål mail.docx", "S 3878-2022")</f>
        <v/>
      </c>
      <c r="AA3">
        <f>HYPERLINK("https://klasma.github.io/Logging_1473/tillsyn/S 3878-2022 tillsynsbegäran.docx", "S 3878-2022")</f>
        <v/>
      </c>
      <c r="AB3">
        <f>HYPERLINK("https://klasma.github.io/Logging_1473/tillsynsmail/S 3878-2022 tillsynsbegäran mail.docx", "S 3878-2022")</f>
        <v/>
      </c>
      <c r="AC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46222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Dropptaggsvamp
Blomkålssvamp
Mattlummer
Spillkråka</t>
        </is>
      </c>
      <c r="V4">
        <f>HYPERLINK("https://klasma.github.io/Logging_1473/artfynd/A 45158-2023 artfynd.xlsx", "A 45158-2023")</f>
        <v/>
      </c>
      <c r="W4">
        <f>HYPERLINK("https://klasma.github.io/Logging_1473/kartor/A 45158-2023 karta.png", "A 45158-2023")</f>
        <v/>
      </c>
      <c r="X4">
        <f>HYPERLINK("https://klasma.github.io/Logging_1473/knärot/A 45158-2023 karta knärot.png", "A 45158-2023")</f>
        <v/>
      </c>
      <c r="Y4">
        <f>HYPERLINK("https://klasma.github.io/Logging_1473/klagomål/A 45158-2023 FSC-klagomål.docx", "A 45158-2023")</f>
        <v/>
      </c>
      <c r="Z4">
        <f>HYPERLINK("https://klasma.github.io/Logging_1473/klagomålsmail/A 45158-2023 FSC-klagomål mail.docx", "A 45158-2023")</f>
        <v/>
      </c>
      <c r="AA4">
        <f>HYPERLINK("https://klasma.github.io/Logging_1473/tillsyn/A 45158-2023 tillsynsbegäran.docx", "A 45158-2023")</f>
        <v/>
      </c>
      <c r="AB4">
        <f>HYPERLINK("https://klasma.github.io/Logging_1473/tillsynsmail/A 45158-2023 tillsynsbegäran mail.docx", "A 45158-2023")</f>
        <v/>
      </c>
      <c r="AC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46222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s="2" t="inlineStr">
        <is>
          <t>Kopparspindling
Blå taggsvamp
Toppvaxing
Tjäder
Kopparödla</t>
        </is>
      </c>
      <c r="V5">
        <f>HYPERLINK("https://klasma.github.io/Logging_1473/artfynd/S 808-2023 artfynd.xlsx", "S 808-2023")</f>
        <v/>
      </c>
      <c r="W5">
        <f>HYPERLINK("https://klasma.github.io/Logging_1473/kartor/S 808-2023 karta.png", "S 808-2023")</f>
        <v/>
      </c>
      <c r="Y5">
        <f>HYPERLINK("https://klasma.github.io/Logging_1473/klagomål/S 808-2023 FSC-klagomål.docx", "S 808-2023")</f>
        <v/>
      </c>
      <c r="Z5">
        <f>HYPERLINK("https://klasma.github.io/Logging_1473/klagomålsmail/S 808-2023 FSC-klagomål mail.docx", "S 808-2023")</f>
        <v/>
      </c>
      <c r="AA5">
        <f>HYPERLINK("https://klasma.github.io/Logging_1473/tillsyn/S 808-2023 tillsynsbegäran.docx", "S 808-2023")</f>
        <v/>
      </c>
      <c r="AB5">
        <f>HYPERLINK("https://klasma.github.io/Logging_1473/tillsynsmail/S 808-2023 tillsynsbegäran mail.docx", "S 808-2023")</f>
        <v/>
      </c>
      <c r="AC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46222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Lundviva
Strutbräken
Blåsippa
Gullviva</t>
        </is>
      </c>
      <c r="V6">
        <f>HYPERLINK("https://klasma.github.io/Logging_1473/artfynd/A 58019-2022 artfynd.xlsx", "A 58019-2022")</f>
        <v/>
      </c>
      <c r="W6">
        <f>HYPERLINK("https://klasma.github.io/Logging_1473/kartor/A 58019-2022 karta.png", "A 58019-2022")</f>
        <v/>
      </c>
      <c r="Y6">
        <f>HYPERLINK("https://klasma.github.io/Logging_1473/klagomål/A 58019-2022 FSC-klagomål.docx", "A 58019-2022")</f>
        <v/>
      </c>
      <c r="Z6">
        <f>HYPERLINK("https://klasma.github.io/Logging_1473/klagomålsmail/A 58019-2022 FSC-klagomål mail.docx", "A 58019-2022")</f>
        <v/>
      </c>
      <c r="AA6">
        <f>HYPERLINK("https://klasma.github.io/Logging_1473/tillsyn/A 58019-2022 tillsynsbegäran.docx", "A 58019-2022")</f>
        <v/>
      </c>
      <c r="AB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46222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Jungfrulin
Mattlummer
Grönvit nattviol
Revlummer</t>
        </is>
      </c>
      <c r="V7">
        <f>HYPERLINK("https://klasma.github.io/Logging_1473/artfynd/A 10833-2025 artfynd.xlsx", "A 10833-2025")</f>
        <v/>
      </c>
      <c r="W7">
        <f>HYPERLINK("https://klasma.github.io/Logging_1473/kartor/A 10833-2025 karta.png", "A 10833-2025")</f>
        <v/>
      </c>
      <c r="Y7">
        <f>HYPERLINK("https://klasma.github.io/Logging_1473/klagomål/A 10833-2025 FSC-klagomål.docx", "A 10833-2025")</f>
        <v/>
      </c>
      <c r="Z7">
        <f>HYPERLINK("https://klasma.github.io/Logging_1473/klagomålsmail/A 10833-2025 FSC-klagomål mail.docx", "A 10833-2025")</f>
        <v/>
      </c>
      <c r="AA7">
        <f>HYPERLINK("https://klasma.github.io/Logging_1473/tillsyn/A 10833-2025 tillsynsbegäran.docx", "A 10833-2025")</f>
        <v/>
      </c>
      <c r="AB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46222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s="2" t="inlineStr">
        <is>
          <t>Solfingersvamp
Hasselticka
Lindskål
Blåsippa</t>
        </is>
      </c>
      <c r="V8">
        <f>HYPERLINK("https://klasma.github.io/Logging_1473/artfynd/A 21931-2026 artfynd.xlsx", "A 21931-2026")</f>
        <v/>
      </c>
      <c r="W8">
        <f>HYPERLINK("https://klasma.github.io/Logging_1473/kartor/A 21931-2026 karta.png", "A 21931-2026")</f>
        <v/>
      </c>
      <c r="Y8">
        <f>HYPERLINK("https://klasma.github.io/Logging_1473/klagomål/A 21931-2026 FSC-klagomål.docx", "A 21931-2026")</f>
        <v/>
      </c>
      <c r="Z8">
        <f>HYPERLINK("https://klasma.github.io/Logging_1473/klagomålsmail/A 21931-2026 FSC-klagomål mail.docx", "A 21931-2026")</f>
        <v/>
      </c>
      <c r="AA8">
        <f>HYPERLINK("https://klasma.github.io/Logging_1473/tillsyn/A 21931-2026 tillsynsbegäran.docx", "A 21931-2026")</f>
        <v/>
      </c>
      <c r="AB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46222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s="2" t="inlineStr">
        <is>
          <t>Svinrot
Talltita
Vanlig groda
Revlummer</t>
        </is>
      </c>
      <c r="V9">
        <f>HYPERLINK("https://klasma.github.io/Logging_1473/artfynd/S 613-2025 artfynd.xlsx", "S 613-2025")</f>
        <v/>
      </c>
      <c r="W9">
        <f>HYPERLINK("https://klasma.github.io/Logging_1473/kartor/S 613-2025 karta.png", "S 613-2025")</f>
        <v/>
      </c>
      <c r="Y9">
        <f>HYPERLINK("https://klasma.github.io/Logging_1473/klagomål/S 613-2025 FSC-klagomål.docx", "S 613-2025")</f>
        <v/>
      </c>
      <c r="Z9">
        <f>HYPERLINK("https://klasma.github.io/Logging_1473/klagomålsmail/S 613-2025 FSC-klagomål mail.docx", "S 613-2025")</f>
        <v/>
      </c>
      <c r="AA9">
        <f>HYPERLINK("https://klasma.github.io/Logging_1473/tillsyn/S 613-2025 tillsynsbegäran.docx", "S 613-2025")</f>
        <v/>
      </c>
      <c r="AB9">
        <f>HYPERLINK("https://klasma.github.io/Logging_1473/tillsynsmail/S 613-2025 tillsynsbegäran mail.docx", "S 613-2025")</f>
        <v/>
      </c>
      <c r="AC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46222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s="2" t="inlineStr">
        <is>
          <t>Solfingersvamp
Hasselticka
Lindskål
Blåsippa</t>
        </is>
      </c>
      <c r="V10">
        <f>HYPERLINK("https://klasma.github.io/Logging_1473/artfynd/S 596-2026 artfynd.xlsx", "S 596-2026")</f>
        <v/>
      </c>
      <c r="W10">
        <f>HYPERLINK("https://klasma.github.io/Logging_1473/kartor/S 596-2026 karta.png", "S 596-2026")</f>
        <v/>
      </c>
      <c r="Y10">
        <f>HYPERLINK("https://klasma.github.io/Logging_1473/klagomål/S 596-2026 FSC-klagomål.docx", "S 596-2026")</f>
        <v/>
      </c>
      <c r="Z10">
        <f>HYPERLINK("https://klasma.github.io/Logging_1473/klagomålsmail/S 596-2026 FSC-klagomål mail.docx", "S 596-2026")</f>
        <v/>
      </c>
      <c r="AA10">
        <f>HYPERLINK("https://klasma.github.io/Logging_1473/tillsyn/S 596-2026 tillsynsbegäran.docx", "S 596-2026")</f>
        <v/>
      </c>
      <c r="AB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46222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Brandticka
Större träfjäril
Mattlummer</t>
        </is>
      </c>
      <c r="V11">
        <f>HYPERLINK("https://klasma.github.io/Logging_1473/artfynd/A 17615-2025 artfynd.xlsx", "A 17615-2025")</f>
        <v/>
      </c>
      <c r="W11">
        <f>HYPERLINK("https://klasma.github.io/Logging_1473/kartor/A 17615-2025 karta.png", "A 17615-2025")</f>
        <v/>
      </c>
      <c r="Y11">
        <f>HYPERLINK("https://klasma.github.io/Logging_1473/klagomål/A 17615-2025 FSC-klagomål.docx", "A 17615-2025")</f>
        <v/>
      </c>
      <c r="Z11">
        <f>HYPERLINK("https://klasma.github.io/Logging_1473/klagomålsmail/A 17615-2025 FSC-klagomål mail.docx", "A 17615-2025")</f>
        <v/>
      </c>
      <c r="AA11">
        <f>HYPERLINK("https://klasma.github.io/Logging_1473/tillsyn/A 17615-2025 tillsynsbegäran.docx", "A 17615-2025")</f>
        <v/>
      </c>
      <c r="AB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46222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Mattlummer
Spillkråka</t>
        </is>
      </c>
      <c r="V12">
        <f>HYPERLINK("https://klasma.github.io/Logging_1473/artfynd/A 39656-2024 artfynd.xlsx", "A 39656-2024")</f>
        <v/>
      </c>
      <c r="W12">
        <f>HYPERLINK("https://klasma.github.io/Logging_1473/kartor/A 39656-2024 karta.png", "A 39656-2024")</f>
        <v/>
      </c>
      <c r="Y12">
        <f>HYPERLINK("https://klasma.github.io/Logging_1473/klagomål/A 39656-2024 FSC-klagomål.docx", "A 39656-2024")</f>
        <v/>
      </c>
      <c r="Z12">
        <f>HYPERLINK("https://klasma.github.io/Logging_1473/klagomålsmail/A 39656-2024 FSC-klagomål mail.docx", "A 39656-2024")</f>
        <v/>
      </c>
      <c r="AA12">
        <f>HYPERLINK("https://klasma.github.io/Logging_1473/tillsyn/A 39656-2024 tillsynsbegäran.docx", "A 39656-2024")</f>
        <v/>
      </c>
      <c r="AB12">
        <f>HYPERLINK("https://klasma.github.io/Logging_1473/tillsynsmail/A 39656-2024 tillsynsbegäran mail.docx", "A 39656-2024")</f>
        <v/>
      </c>
      <c r="AC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46222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Vanlig snok</t>
        </is>
      </c>
      <c r="V13">
        <f>HYPERLINK("https://klasma.github.io/Logging_1473/artfynd/A 61281-2023 artfynd.xlsx", "A 61281-2023")</f>
        <v/>
      </c>
      <c r="W13">
        <f>HYPERLINK("https://klasma.github.io/Logging_1473/kartor/A 61281-2023 karta.png", "A 61281-2023")</f>
        <v/>
      </c>
      <c r="Y13">
        <f>HYPERLINK("https://klasma.github.io/Logging_1473/klagomål/A 61281-2023 FSC-klagomål.docx", "A 61281-2023")</f>
        <v/>
      </c>
      <c r="Z13">
        <f>HYPERLINK("https://klasma.github.io/Logging_1473/klagomålsmail/A 61281-2023 FSC-klagomål mail.docx", "A 61281-2023")</f>
        <v/>
      </c>
      <c r="AA13">
        <f>HYPERLINK("https://klasma.github.io/Logging_1473/tillsyn/A 61281-2023 tillsynsbegäran.docx", "A 61281-2023")</f>
        <v/>
      </c>
      <c r="AB13">
        <f>HYPERLINK("https://klasma.github.io/Logging_1473/tillsynsmail/A 61281-2023 tillsynsbegäran mail.docx", "A 61281-2023")</f>
        <v/>
      </c>
      <c r="AC13">
        <f>HYPERLINK("https://klasma.github.io/Logging_1473/fåglar/A 61281-2023 prioriterade fågelarter.docx", "A 61281-2023")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46222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Fläcknycklar
Grönvit nattviol</t>
        </is>
      </c>
      <c r="V14">
        <f>HYPERLINK("https://klasma.github.io/Logging_1473/artfynd/A 7823-2022 artfynd.xlsx", "A 7823-2022")</f>
        <v/>
      </c>
      <c r="W14">
        <f>HYPERLINK("https://klasma.github.io/Logging_1473/kartor/A 7823-2022 karta.png", "A 7823-2022")</f>
        <v/>
      </c>
      <c r="Y14">
        <f>HYPERLINK("https://klasma.github.io/Logging_1473/klagomål/A 7823-2022 FSC-klagomål.docx", "A 7823-2022")</f>
        <v/>
      </c>
      <c r="Z14">
        <f>HYPERLINK("https://klasma.github.io/Logging_1473/klagomålsmail/A 7823-2022 FSC-klagomål mail.docx", "A 7823-2022")</f>
        <v/>
      </c>
      <c r="AA14">
        <f>HYPERLINK("https://klasma.github.io/Logging_1473/tillsyn/A 7823-2022 tillsynsbegäran.docx", "A 7823-2022")</f>
        <v/>
      </c>
      <c r="AB14">
        <f>HYPERLINK("https://klasma.github.io/Logging_1473/tillsynsmail/A 7823-2022 tillsynsbegäran mail.docx", "A 7823-2022")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46222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Björksplintborre
Jättesvampmal</t>
        </is>
      </c>
      <c r="V15">
        <f>HYPERLINK("https://klasma.github.io/Logging_1473/artfynd/A 11692-2025 artfynd.xlsx", "A 11692-2025")</f>
        <v/>
      </c>
      <c r="W15">
        <f>HYPERLINK("https://klasma.github.io/Logging_1473/kartor/A 11692-2025 karta.png", "A 11692-2025")</f>
        <v/>
      </c>
      <c r="Y15">
        <f>HYPERLINK("https://klasma.github.io/Logging_1473/klagomål/A 11692-2025 FSC-klagomål.docx", "A 11692-2025")</f>
        <v/>
      </c>
      <c r="Z15">
        <f>HYPERLINK("https://klasma.github.io/Logging_1473/klagomålsmail/A 11692-2025 FSC-klagomål mail.docx", "A 11692-2025")</f>
        <v/>
      </c>
      <c r="AA15">
        <f>HYPERLINK("https://klasma.github.io/Logging_1473/tillsyn/A 11692-2025 tillsynsbegäran.docx", "A 11692-2025")</f>
        <v/>
      </c>
      <c r="AB15">
        <f>HYPERLINK("https://klasma.github.io/Logging_1473/tillsynsmail/A 11692-2025 tillsynsbegäran mail.docx", "A 11692-2025")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46222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Ormbär
Revlummer</t>
        </is>
      </c>
      <c r="V16">
        <f>HYPERLINK("https://klasma.github.io/Logging_1473/artfynd/A 30197-2026 artfynd.xlsx", "A 30197-2026")</f>
        <v/>
      </c>
      <c r="W16">
        <f>HYPERLINK("https://klasma.github.io/Logging_1473/kartor/A 30197-2026 karta.png", "A 30197-2026")</f>
        <v/>
      </c>
      <c r="Y16">
        <f>HYPERLINK("https://klasma.github.io/Logging_1473/klagomål/A 30197-2026 FSC-klagomål.docx", "A 30197-2026")</f>
        <v/>
      </c>
      <c r="Z16">
        <f>HYPERLINK("https://klasma.github.io/Logging_1473/klagomålsmail/A 30197-2026 FSC-klagomål mail.docx", "A 30197-2026")</f>
        <v/>
      </c>
      <c r="AA16">
        <f>HYPERLINK("https://klasma.github.io/Logging_1473/tillsyn/A 30197-2026 tillsynsbegäran.docx", "A 30197-2026")</f>
        <v/>
      </c>
      <c r="AB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46222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s="2" t="inlineStr">
        <is>
          <t>Slåtterfibbla
Mattlummer</t>
        </is>
      </c>
      <c r="V17">
        <f>HYPERLINK("https://klasma.github.io/Logging_1473/artfynd/A 39659-2024 artfynd.xlsx", "A 39659-2024")</f>
        <v/>
      </c>
      <c r="W17">
        <f>HYPERLINK("https://klasma.github.io/Logging_1473/kartor/A 39659-2024 karta.png", "A 39659-2024")</f>
        <v/>
      </c>
      <c r="Y17">
        <f>HYPERLINK("https://klasma.github.io/Logging_1473/klagomål/A 39659-2024 FSC-klagomål.docx", "A 39659-2024")</f>
        <v/>
      </c>
      <c r="Z17">
        <f>HYPERLINK("https://klasma.github.io/Logging_1473/klagomålsmail/A 39659-2024 FSC-klagomål mail.docx", "A 39659-2024")</f>
        <v/>
      </c>
      <c r="AA17">
        <f>HYPERLINK("https://klasma.github.io/Logging_1473/tillsyn/A 39659-2024 tillsynsbegäran.docx", "A 39659-2024")</f>
        <v/>
      </c>
      <c r="AB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46222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Grönpyrola</t>
        </is>
      </c>
      <c r="V18">
        <f>HYPERLINK("https://klasma.github.io/Logging_1473/artfynd/A 43522-2022 artfynd.xlsx", "A 43522-2022")</f>
        <v/>
      </c>
      <c r="W18">
        <f>HYPERLINK("https://klasma.github.io/Logging_1473/kartor/A 43522-2022 karta.png", "A 43522-2022")</f>
        <v/>
      </c>
      <c r="Y18">
        <f>HYPERLINK("https://klasma.github.io/Logging_1473/klagomål/A 43522-2022 FSC-klagomål.docx", "A 43522-2022")</f>
        <v/>
      </c>
      <c r="Z18">
        <f>HYPERLINK("https://klasma.github.io/Logging_1473/klagomålsmail/A 43522-2022 FSC-klagomål mail.docx", "A 43522-2022")</f>
        <v/>
      </c>
      <c r="AA18">
        <f>HYPERLINK("https://klasma.github.io/Logging_1473/tillsyn/A 43522-2022 tillsynsbegäran.docx", "A 43522-2022")</f>
        <v/>
      </c>
      <c r="AB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46222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Havsörn</t>
        </is>
      </c>
      <c r="V19">
        <f>HYPERLINK("https://klasma.github.io/Logging_1473/artfynd/A 6160-2023 artfynd.xlsx", "A 6160-2023")</f>
        <v/>
      </c>
      <c r="W19">
        <f>HYPERLINK("https://klasma.github.io/Logging_1473/kartor/A 6160-2023 karta.png", "A 6160-2023")</f>
        <v/>
      </c>
      <c r="Y19">
        <f>HYPERLINK("https://klasma.github.io/Logging_1473/klagomål/A 6160-2023 FSC-klagomål.docx", "A 6160-2023")</f>
        <v/>
      </c>
      <c r="Z19">
        <f>HYPERLINK("https://klasma.github.io/Logging_1473/klagomålsmail/A 6160-2023 FSC-klagomål mail.docx", "A 6160-2023")</f>
        <v/>
      </c>
      <c r="AA19">
        <f>HYPERLINK("https://klasma.github.io/Logging_1473/tillsyn/A 6160-2023 tillsynsbegäran.docx", "A 6160-2023")</f>
        <v/>
      </c>
      <c r="AB19">
        <f>HYPERLINK("https://klasma.github.io/Logging_1473/tillsynsmail/A 6160-2023 tillsynsbegäran mail.docx", "A 6160-2023")</f>
        <v/>
      </c>
      <c r="AC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46222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Dofttaggsvamp</t>
        </is>
      </c>
      <c r="V20">
        <f>HYPERLINK("https://klasma.github.io/Logging_1473/artfynd/A 8266-2022 artfynd.xlsx", "A 8266-2022")</f>
        <v/>
      </c>
      <c r="W20">
        <f>HYPERLINK("https://klasma.github.io/Logging_1473/kartor/A 8266-2022 karta.png", "A 8266-2022")</f>
        <v/>
      </c>
      <c r="Y20">
        <f>HYPERLINK("https://klasma.github.io/Logging_1473/klagomål/A 8266-2022 FSC-klagomål.docx", "A 8266-2022")</f>
        <v/>
      </c>
      <c r="Z20">
        <f>HYPERLINK("https://klasma.github.io/Logging_1473/klagomålsmail/A 8266-2022 FSC-klagomål mail.docx", "A 8266-2022")</f>
        <v/>
      </c>
      <c r="AA20">
        <f>HYPERLINK("https://klasma.github.io/Logging_1473/tillsyn/A 8266-2022 tillsynsbegäran.docx", "A 8266-2022")</f>
        <v/>
      </c>
      <c r="AB20">
        <f>HYPERLINK("https://klasma.github.io/Logging_1473/tillsynsmail/A 8266-2022 tillsynsbegäran mail.docx", "A 8266-2022")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46222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Vattenfladdermus</t>
        </is>
      </c>
      <c r="V21">
        <f>HYPERLINK("https://klasma.github.io/Logging_1473/artfynd/A 17540-2025 artfynd.xlsx", "A 17540-2025")</f>
        <v/>
      </c>
      <c r="W21">
        <f>HYPERLINK("https://klasma.github.io/Logging_1473/kartor/A 17540-2025 karta.png", "A 17540-2025")</f>
        <v/>
      </c>
      <c r="Y21">
        <f>HYPERLINK("https://klasma.github.io/Logging_1473/klagomål/A 17540-2025 FSC-klagomål.docx", "A 17540-2025")</f>
        <v/>
      </c>
      <c r="Z21">
        <f>HYPERLINK("https://klasma.github.io/Logging_1473/klagomålsmail/A 17540-2025 FSC-klagomål mail.docx", "A 17540-2025")</f>
        <v/>
      </c>
      <c r="AA21">
        <f>HYPERLINK("https://klasma.github.io/Logging_1473/tillsyn/A 17540-2025 tillsynsbegäran.docx", "A 17540-2025")</f>
        <v/>
      </c>
      <c r="AB21">
        <f>HYPERLINK("https://klasma.github.io/Logging_1473/tillsynsmail/A 17540-2025 tillsynsbegäran mail.docx", "A 17540-2025")</f>
        <v/>
      </c>
    </row>
    <row r="22" ht="15" customHeight="1">
      <c r="A22" t="inlineStr">
        <is>
          <t>A 14755-2025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45742</v>
      </c>
      <c r="E22" s="1" t="n">
        <v>46222</v>
      </c>
      <c r="F22" t="inlineStr">
        <is>
          <t>VÄSTRA GÖTALANDS LÄN</t>
        </is>
      </c>
      <c r="G22" t="inlineStr">
        <is>
          <t>TÖREBODA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s="2" t="inlineStr">
        <is>
          <t>Mattlummer</t>
        </is>
      </c>
      <c r="V22">
        <f>HYPERLINK("https://klasma.github.io/Logging_1473/artfynd/A 14755-2025 artfynd.xlsx", "A 14755-2025")</f>
        <v/>
      </c>
      <c r="W22">
        <f>HYPERLINK("https://klasma.github.io/Logging_1473/kartor/A 14755-2025 karta.png", "A 14755-2025")</f>
        <v/>
      </c>
      <c r="Y22">
        <f>HYPERLINK("https://klasma.github.io/Logging_1473/klagomål/A 14755-2025 FSC-klagomål.docx", "A 14755-2025")</f>
        <v/>
      </c>
      <c r="Z22">
        <f>HYPERLINK("https://klasma.github.io/Logging_1473/klagomålsmail/A 14755-2025 FSC-klagomål mail.docx", "A 14755-2025")</f>
        <v/>
      </c>
      <c r="AA22">
        <f>HYPERLINK("https://klasma.github.io/Logging_1473/tillsyn/A 14755-2025 tillsynsbegäran.docx", "A 14755-2025")</f>
        <v/>
      </c>
      <c r="AB22">
        <f>HYPERLINK("https://klasma.github.io/Logging_1473/tillsynsmail/A 14755-2025 tillsynsbegäran mail.docx", "A 14755-2025")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46222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Havsörn</t>
        </is>
      </c>
      <c r="V23">
        <f>HYPERLINK("https://klasma.github.io/Logging_1473/artfynd/A 49169-2025 artfynd.xlsx", "A 49169-2025")</f>
        <v/>
      </c>
      <c r="W23">
        <f>HYPERLINK("https://klasma.github.io/Logging_1473/kartor/A 49169-2025 karta.png", "A 49169-2025")</f>
        <v/>
      </c>
      <c r="Y23">
        <f>HYPERLINK("https://klasma.github.io/Logging_1473/klagomål/A 49169-2025 FSC-klagomål.docx", "A 49169-2025")</f>
        <v/>
      </c>
      <c r="Z23">
        <f>HYPERLINK("https://klasma.github.io/Logging_1473/klagomålsmail/A 49169-2025 FSC-klagomål mail.docx", "A 49169-2025")</f>
        <v/>
      </c>
      <c r="AA23">
        <f>HYPERLINK("https://klasma.github.io/Logging_1473/tillsyn/A 49169-2025 tillsynsbegäran.docx", "A 49169-2025")</f>
        <v/>
      </c>
      <c r="AB23">
        <f>HYPERLINK("https://klasma.github.io/Logging_1473/tillsynsmail/A 49169-2025 tillsynsbegäran mail.docx", "A 49169-2025")</f>
        <v/>
      </c>
      <c r="AC23">
        <f>HYPERLINK("https://klasma.github.io/Logging_1473/fåglar/A 49169-2025 prioriterade fågelarter.docx", "A 49169-2025")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46222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HYPERLINK("https://klasma.github.io/Logging_1473/artfynd/A 9985-2023 artfynd.xlsx", "A 9985-2023")</f>
        <v/>
      </c>
      <c r="W24">
        <f>HYPERLINK("https://klasma.github.io/Logging_1473/kartor/A 9985-2023 karta.png", "A 9985-2023")</f>
        <v/>
      </c>
      <c r="Y24">
        <f>HYPERLINK("https://klasma.github.io/Logging_1473/klagomål/A 9985-2023 FSC-klagomål.docx", "A 9985-2023")</f>
        <v/>
      </c>
      <c r="Z24">
        <f>HYPERLINK("https://klasma.github.io/Logging_1473/klagomålsmail/A 9985-2023 FSC-klagomål mail.docx", "A 9985-2023")</f>
        <v/>
      </c>
      <c r="AA24">
        <f>HYPERLINK("https://klasma.github.io/Logging_1473/tillsyn/A 9985-2023 tillsynsbegäran.docx", "A 9985-2023")</f>
        <v/>
      </c>
      <c r="AB24">
        <f>HYPERLINK("https://klasma.github.io/Logging_1473/tillsynsmail/A 9985-2023 tillsynsbegäran mail.docx", "A 9985-2023")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46222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Grantaggsvamp</t>
        </is>
      </c>
      <c r="V25">
        <f>HYPERLINK("https://klasma.github.io/Logging_1473/artfynd/A 1591-2023 artfynd.xlsx", "A 1591-2023")</f>
        <v/>
      </c>
      <c r="W25">
        <f>HYPERLINK("https://klasma.github.io/Logging_1473/kartor/A 1591-2023 karta.png", "A 1591-2023")</f>
        <v/>
      </c>
      <c r="Y25">
        <f>HYPERLINK("https://klasma.github.io/Logging_1473/klagomål/A 1591-2023 FSC-klagomål.docx", "A 1591-2023")</f>
        <v/>
      </c>
      <c r="Z25">
        <f>HYPERLINK("https://klasma.github.io/Logging_1473/klagomålsmail/A 1591-2023 FSC-klagomål mail.docx", "A 1591-2023")</f>
        <v/>
      </c>
      <c r="AA25">
        <f>HYPERLINK("https://klasma.github.io/Logging_1473/tillsyn/A 1591-2023 tillsynsbegäran.docx", "A 1591-2023")</f>
        <v/>
      </c>
      <c r="AB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46222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Vattenfladdermus</t>
        </is>
      </c>
      <c r="V26">
        <f>HYPERLINK("https://klasma.github.io/Logging_1473/artfynd/A 58097-2024 artfynd.xlsx", "A 58097-2024")</f>
        <v/>
      </c>
      <c r="W26">
        <f>HYPERLINK("https://klasma.github.io/Logging_1473/kartor/A 58097-2024 karta.png", "A 58097-2024")</f>
        <v/>
      </c>
      <c r="Y26">
        <f>HYPERLINK("https://klasma.github.io/Logging_1473/klagomål/A 58097-2024 FSC-klagomål.docx", "A 58097-2024")</f>
        <v/>
      </c>
      <c r="Z26">
        <f>HYPERLINK("https://klasma.github.io/Logging_1473/klagomålsmail/A 58097-2024 FSC-klagomål mail.docx", "A 58097-2024")</f>
        <v/>
      </c>
      <c r="AA26">
        <f>HYPERLINK("https://klasma.github.io/Logging_1473/tillsyn/A 58097-2024 tillsynsbegäran.docx", "A 58097-2024")</f>
        <v/>
      </c>
      <c r="AB26">
        <f>HYPERLINK("https://klasma.github.io/Logging_1473/tillsynsmail/A 58097-2024 tillsynsbegäran mail.docx", "A 58097-2024")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46222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Revlummer</t>
        </is>
      </c>
      <c r="V27">
        <f>HYPERLINK("https://klasma.github.io/Logging_1473/artfynd/A 7772-2022 artfynd.xlsx", "A 7772-2022")</f>
        <v/>
      </c>
      <c r="W27">
        <f>HYPERLINK("https://klasma.github.io/Logging_1473/kartor/A 7772-2022 karta.png", "A 7772-2022")</f>
        <v/>
      </c>
      <c r="Y27">
        <f>HYPERLINK("https://klasma.github.io/Logging_1473/klagomål/A 7772-2022 FSC-klagomål.docx", "A 7772-2022")</f>
        <v/>
      </c>
      <c r="Z27">
        <f>HYPERLINK("https://klasma.github.io/Logging_1473/klagomålsmail/A 7772-2022 FSC-klagomål mail.docx", "A 7772-2022")</f>
        <v/>
      </c>
      <c r="AA27">
        <f>HYPERLINK("https://klasma.github.io/Logging_1473/tillsyn/A 7772-2022 tillsynsbegäran.docx", "A 7772-2022")</f>
        <v/>
      </c>
      <c r="AB27">
        <f>HYPERLINK("https://klasma.github.io/Logging_1473/tillsynsmail/A 7772-2022 tillsynsbegäran mail.docx", "A 7772-2022")</f>
        <v/>
      </c>
    </row>
    <row r="28" ht="15" customHeight="1">
      <c r="A28" t="inlineStr">
        <is>
          <t>A 55174-2024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46222</v>
      </c>
      <c r="F28" t="inlineStr">
        <is>
          <t>VÄSTRA GÖTALANDS LÄN</t>
        </is>
      </c>
      <c r="G28" t="inlineStr">
        <is>
          <t>TÖREBODA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Västlig hakmossa</t>
        </is>
      </c>
      <c r="V28">
        <f>HYPERLINK("https://klasma.github.io/Logging_1473/artfynd/A 55174-2024 artfynd.xlsx", "A 55174-2024")</f>
        <v/>
      </c>
      <c r="W28">
        <f>HYPERLINK("https://klasma.github.io/Logging_1473/kartor/A 55174-2024 karta.png", "A 55174-2024")</f>
        <v/>
      </c>
      <c r="Y28">
        <f>HYPERLINK("https://klasma.github.io/Logging_1473/klagomål/A 55174-2024 FSC-klagomål.docx", "A 55174-2024")</f>
        <v/>
      </c>
      <c r="Z28">
        <f>HYPERLINK("https://klasma.github.io/Logging_1473/klagomålsmail/A 55174-2024 FSC-klagomål mail.docx", "A 55174-2024")</f>
        <v/>
      </c>
      <c r="AA28">
        <f>HYPERLINK("https://klasma.github.io/Logging_1473/tillsyn/A 55174-2024 tillsynsbegäran.docx", "A 55174-2024")</f>
        <v/>
      </c>
      <c r="AB28">
        <f>HYPERLINK("https://klasma.github.io/Logging_1473/tillsynsmail/A 55174-2024 tillsynsbegäran mail.docx", "A 55174-2024")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46222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Nattskärra</t>
        </is>
      </c>
      <c r="V29">
        <f>HYPERLINK("https://klasma.github.io/Logging_1473/artfynd/A 39894-2023 artfynd.xlsx", "A 39894-2023")</f>
        <v/>
      </c>
      <c r="W29">
        <f>HYPERLINK("https://klasma.github.io/Logging_1473/kartor/A 39894-2023 karta.png", "A 39894-2023")</f>
        <v/>
      </c>
      <c r="Y29">
        <f>HYPERLINK("https://klasma.github.io/Logging_1473/klagomål/A 39894-2023 FSC-klagomål.docx", "A 39894-2023")</f>
        <v/>
      </c>
      <c r="Z29">
        <f>HYPERLINK("https://klasma.github.io/Logging_1473/klagomålsmail/A 39894-2023 FSC-klagomål mail.docx", "A 39894-2023")</f>
        <v/>
      </c>
      <c r="AA29">
        <f>HYPERLINK("https://klasma.github.io/Logging_1473/tillsyn/A 39894-2023 tillsynsbegäran.docx", "A 39894-2023")</f>
        <v/>
      </c>
      <c r="AB29">
        <f>HYPERLINK("https://klasma.github.io/Logging_1473/tillsynsmail/A 39894-2023 tillsynsbegäran mail.docx", "A 39894-2023")</f>
        <v/>
      </c>
      <c r="AC29">
        <f>HYPERLINK("https://klasma.github.io/Logging_1473/fåglar/A 39894-2023 prioriterade fågelarter.docx", "A 39894-2023")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46222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Havsörn</t>
        </is>
      </c>
      <c r="V30">
        <f>HYPERLINK("https://klasma.github.io/Logging_1473/artfynd/A 30816-2026 artfynd.xlsx", "A 30816-2026")</f>
        <v/>
      </c>
      <c r="W30">
        <f>HYPERLINK("https://klasma.github.io/Logging_1473/kartor/A 30816-2026 karta.png", "A 30816-2026")</f>
        <v/>
      </c>
      <c r="Y30">
        <f>HYPERLINK("https://klasma.github.io/Logging_1473/klagomål/A 30816-2026 FSC-klagomål.docx", "A 30816-2026")</f>
        <v/>
      </c>
      <c r="Z30">
        <f>HYPERLINK("https://klasma.github.io/Logging_1473/klagomålsmail/A 30816-2026 FSC-klagomål mail.docx", "A 30816-2026")</f>
        <v/>
      </c>
      <c r="AA30">
        <f>HYPERLINK("https://klasma.github.io/Logging_1473/tillsyn/A 30816-2026 tillsynsbegäran.docx", "A 30816-2026")</f>
        <v/>
      </c>
      <c r="AB30">
        <f>HYPERLINK("https://klasma.github.io/Logging_1473/tillsynsmail/A 30816-2026 tillsynsbegäran mail.docx", "A 30816-2026")</f>
        <v/>
      </c>
      <c r="AC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46222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HYPERLINK("https://klasma.github.io/Logging_1473/artfynd/A 12168-2025 artfynd.xlsx", "A 12168-2025")</f>
        <v/>
      </c>
      <c r="W31">
        <f>HYPERLINK("https://klasma.github.io/Logging_1473/kartor/A 12168-2025 karta.png", "A 12168-2025")</f>
        <v/>
      </c>
      <c r="Y31">
        <f>HYPERLINK("https://klasma.github.io/Logging_1473/klagomål/A 12168-2025 FSC-klagomål.docx", "A 12168-2025")</f>
        <v/>
      </c>
      <c r="Z31">
        <f>HYPERLINK("https://klasma.github.io/Logging_1473/klagomålsmail/A 12168-2025 FSC-klagomål mail.docx", "A 12168-2025")</f>
        <v/>
      </c>
      <c r="AA31">
        <f>HYPERLINK("https://klasma.github.io/Logging_1473/tillsyn/A 12168-2025 tillsynsbegäran.docx", "A 12168-2025")</f>
        <v/>
      </c>
      <c r="AB31">
        <f>HYPERLINK("https://klasma.github.io/Logging_1473/tillsynsmail/A 12168-2025 tillsynsbegäran mail.docx", "A 12168-2025")</f>
        <v/>
      </c>
      <c r="AC31">
        <f>HYPERLINK("https://klasma.github.io/Logging_1473/fåglar/A 12168-2025 prioriterade fågelarter.docx", "A 12168-2025")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46222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s="2" t="inlineStr">
        <is>
          <t>Ask</t>
        </is>
      </c>
      <c r="V32">
        <f>HYPERLINK("https://klasma.github.io/Logging_1473/artfynd/S 2401-2022 artfynd.xlsx", "S 2401-2022")</f>
        <v/>
      </c>
      <c r="W32">
        <f>HYPERLINK("https://klasma.github.io/Logging_1473/kartor/S 2401-2022 karta.png", "S 2401-2022")</f>
        <v/>
      </c>
      <c r="Y32">
        <f>HYPERLINK("https://klasma.github.io/Logging_1473/klagomål/S 2401-2022 FSC-klagomål.docx", "S 2401-2022")</f>
        <v/>
      </c>
      <c r="Z32">
        <f>HYPERLINK("https://klasma.github.io/Logging_1473/klagomålsmail/S 2401-2022 FSC-klagomål mail.docx", "S 2401-2022")</f>
        <v/>
      </c>
      <c r="AA32">
        <f>HYPERLINK("https://klasma.github.io/Logging_1473/tillsyn/S 2401-2022 tillsynsbegäran.docx", "S 2401-2022")</f>
        <v/>
      </c>
      <c r="AB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46222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HYPERLINK("https://klasma.github.io/Logging_1473/artfynd/S 812-2023 artfynd.xlsx", "S 812-2023")</f>
        <v/>
      </c>
      <c r="W33">
        <f>HYPERLINK("https://klasma.github.io/Logging_1473/kartor/S 812-2023 karta.png", "S 812-2023")</f>
        <v/>
      </c>
      <c r="Y33">
        <f>HYPERLINK("https://klasma.github.io/Logging_1473/klagomål/S 812-2023 FSC-klagomål.docx", "S 812-2023")</f>
        <v/>
      </c>
      <c r="Z33">
        <f>HYPERLINK("https://klasma.github.io/Logging_1473/klagomålsmail/S 812-2023 FSC-klagomål mail.docx", "S 812-2023")</f>
        <v/>
      </c>
      <c r="AA33">
        <f>HYPERLINK("https://klasma.github.io/Logging_1473/tillsyn/S 812-2023 tillsynsbegäran.docx", "S 812-2023")</f>
        <v/>
      </c>
      <c r="AB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46222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46222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46222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46222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46222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46222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46222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46222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46222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46222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46222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46222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46222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46222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46222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46222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46222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46222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46222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46222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46222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46222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46222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46222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46222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46222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46222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46222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46222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46222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46222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46222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46222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10833-2024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46222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48973-2023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45209</v>
      </c>
      <c r="E68" s="1" t="n">
        <v>46222</v>
      </c>
      <c r="F68" t="inlineStr">
        <is>
          <t>VÄSTRA GÖTALANDS LÄN</t>
        </is>
      </c>
      <c r="G68" t="inlineStr">
        <is>
          <t>TÖREBODA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48957-2022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46222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11683-2024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46222</v>
      </c>
      <c r="F70" t="inlineStr">
        <is>
          <t>VÄSTRA GÖTALANDS LÄN</t>
        </is>
      </c>
      <c r="G70" t="inlineStr">
        <is>
          <t>TÖREBODA</t>
        </is>
      </c>
      <c r="I70" t="n">
        <v>23.8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24544-2024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45460</v>
      </c>
      <c r="E71" s="1" t="n">
        <v>46222</v>
      </c>
      <c r="F71" t="inlineStr">
        <is>
          <t>VÄSTRA GÖTALANDS LÄN</t>
        </is>
      </c>
      <c r="G71" t="inlineStr">
        <is>
          <t>TÖREBODA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11680-2024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45373</v>
      </c>
      <c r="E72" s="1" t="n">
        <v>46222</v>
      </c>
      <c r="F72" t="inlineStr">
        <is>
          <t>VÄSTRA GÖTALANDS LÄN</t>
        </is>
      </c>
      <c r="G72" t="inlineStr">
        <is>
          <t>TÖREBODA</t>
        </is>
      </c>
      <c r="I72" t="n">
        <v>12.3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45443</v>
      </c>
      <c r="E73" s="1" t="n">
        <v>46222</v>
      </c>
      <c r="F73" t="inlineStr">
        <is>
          <t>VÄSTRA GÖTALANDS LÄN</t>
        </is>
      </c>
      <c r="G73" t="inlineStr">
        <is>
          <t>TÖREBODA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24363-2024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45457</v>
      </c>
      <c r="E74" s="1" t="n">
        <v>46222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Övriga statliga verk och myndigheter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10185-2023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44986</v>
      </c>
      <c r="E75" s="1" t="n">
        <v>46222</v>
      </c>
      <c r="F75" t="inlineStr">
        <is>
          <t>VÄSTRA GÖTALANDS LÄN</t>
        </is>
      </c>
      <c r="G75" t="inlineStr">
        <is>
          <t>TÖREBODA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44868</v>
      </c>
      <c r="E76" s="1" t="n">
        <v>46222</v>
      </c>
      <c r="F76" t="inlineStr">
        <is>
          <t>VÄSTRA GÖTALANDS LÄN</t>
        </is>
      </c>
      <c r="G76" t="inlineStr">
        <is>
          <t>TÖREBODA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58755-2022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46222</v>
      </c>
      <c r="F77" t="inlineStr">
        <is>
          <t>VÄSTRA GÖTALANDS LÄN</t>
        </is>
      </c>
      <c r="G77" t="inlineStr">
        <is>
          <t>TÖREBODA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35448-2024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46222</v>
      </c>
      <c r="F78" t="inlineStr">
        <is>
          <t>VÄSTRA GÖTALANDS LÄN</t>
        </is>
      </c>
      <c r="G78" t="inlineStr">
        <is>
          <t>TÖREBODA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47322-2022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46222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38266-2021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44405</v>
      </c>
      <c r="E80" s="1" t="n">
        <v>46222</v>
      </c>
      <c r="F80" t="inlineStr">
        <is>
          <t>VÄSTRA GÖTALANDS LÄN</t>
        </is>
      </c>
      <c r="G80" t="inlineStr">
        <is>
          <t>TÖREBODA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6578-2024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46222</v>
      </c>
      <c r="F81" t="inlineStr">
        <is>
          <t>VÄSTRA GÖTALANDS LÄN</t>
        </is>
      </c>
      <c r="G81" t="inlineStr">
        <is>
          <t>TÖREBODA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29023-2024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45481</v>
      </c>
      <c r="E82" s="1" t="n">
        <v>46222</v>
      </c>
      <c r="F82" t="inlineStr">
        <is>
          <t>VÄSTRA GÖTALANDS LÄN</t>
        </is>
      </c>
      <c r="G82" t="inlineStr">
        <is>
          <t>TÖREBODA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56682-2024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45627</v>
      </c>
      <c r="E83" s="1" t="n">
        <v>46222</v>
      </c>
      <c r="F83" t="inlineStr">
        <is>
          <t>VÄSTRA GÖTALANDS LÄN</t>
        </is>
      </c>
      <c r="G83" t="inlineStr">
        <is>
          <t>TÖREBODA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17360-2024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45414</v>
      </c>
      <c r="E84" s="1" t="n">
        <v>46222</v>
      </c>
      <c r="F84" t="inlineStr">
        <is>
          <t>VÄSTRA GÖTALANDS LÄN</t>
        </is>
      </c>
      <c r="G84" t="inlineStr">
        <is>
          <t>TÖREBODA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46222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58123-2022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46222</v>
      </c>
      <c r="F86" t="inlineStr">
        <is>
          <t>VÄSTRA GÖTALANDS LÄN</t>
        </is>
      </c>
      <c r="G86" t="inlineStr">
        <is>
          <t>TÖREBODA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64799-2023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45282</v>
      </c>
      <c r="E87" s="1" t="n">
        <v>46222</v>
      </c>
      <c r="F87" t="inlineStr">
        <is>
          <t>VÄSTRA GÖTALANDS LÄN</t>
        </is>
      </c>
      <c r="G87" t="inlineStr">
        <is>
          <t>TÖREBODA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10598-2023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44988</v>
      </c>
      <c r="E88" s="1" t="n">
        <v>46222</v>
      </c>
      <c r="F88" t="inlineStr">
        <is>
          <t>VÄSTRA GÖTALANDS LÄN</t>
        </is>
      </c>
      <c r="G88" t="inlineStr">
        <is>
          <t>TÖREBODA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58013-2022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46222</v>
      </c>
      <c r="F89" t="inlineStr">
        <is>
          <t>VÄSTRA GÖTALANDS LÄN</t>
        </is>
      </c>
      <c r="G89" t="inlineStr">
        <is>
          <t>TÖREBODA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62521-2022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44924</v>
      </c>
      <c r="E90" s="1" t="n">
        <v>46222</v>
      </c>
      <c r="F90" t="inlineStr">
        <is>
          <t>VÄSTRA GÖTALANDS LÄN</t>
        </is>
      </c>
      <c r="G90" t="inlineStr">
        <is>
          <t>TÖREBODA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26963-2025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46222</v>
      </c>
      <c r="F91" t="inlineStr">
        <is>
          <t>VÄSTRA GÖTALANDS LÄN</t>
        </is>
      </c>
      <c r="G91" t="inlineStr">
        <is>
          <t>TÖREBODA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26941-2025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45811</v>
      </c>
      <c r="E92" s="1" t="n">
        <v>46222</v>
      </c>
      <c r="F92" t="inlineStr">
        <is>
          <t>VÄSTRA GÖTALANDS LÄN</t>
        </is>
      </c>
      <c r="G92" t="inlineStr">
        <is>
          <t>TÖREBODA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33276-2023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45127</v>
      </c>
      <c r="E93" s="1" t="n">
        <v>46222</v>
      </c>
      <c r="F93" t="inlineStr">
        <is>
          <t>VÄSTRA GÖTALANDS LÄN</t>
        </is>
      </c>
      <c r="G93" t="inlineStr">
        <is>
          <t>TÖREBODA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60267-2024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46222</v>
      </c>
      <c r="F94" t="inlineStr">
        <is>
          <t>VÄSTRA GÖTALANDS LÄN</t>
        </is>
      </c>
      <c r="G94" t="inlineStr">
        <is>
          <t>TÖREBODA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28869-2025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46222</v>
      </c>
      <c r="F95" t="inlineStr">
        <is>
          <t>VÄSTRA GÖTALANDS LÄN</t>
        </is>
      </c>
      <c r="G95" t="inlineStr">
        <is>
          <t>TÖREBODA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38705-2025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45885</v>
      </c>
      <c r="E96" s="1" t="n">
        <v>46222</v>
      </c>
      <c r="F96" t="inlineStr">
        <is>
          <t>VÄSTRA GÖTALANDS LÄN</t>
        </is>
      </c>
      <c r="G96" t="inlineStr">
        <is>
          <t>TÖREBODA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38706-2025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45885</v>
      </c>
      <c r="E97" s="1" t="n">
        <v>46222</v>
      </c>
      <c r="F97" t="inlineStr">
        <is>
          <t>VÄSTRA GÖTALANDS LÄN</t>
        </is>
      </c>
      <c r="G97" t="inlineStr">
        <is>
          <t>TÖREBODA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38987-2025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46222</v>
      </c>
      <c r="F98" t="inlineStr">
        <is>
          <t>VÄSTRA GÖTALANDS LÄN</t>
        </is>
      </c>
      <c r="G98" t="inlineStr">
        <is>
          <t>TÖREBODA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46222</v>
      </c>
      <c r="F99" t="inlineStr">
        <is>
          <t>VÄSTRA GÖTALANDS LÄN</t>
        </is>
      </c>
      <c r="G99" t="inlineStr">
        <is>
          <t>TÖREBODA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38704-2025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45885</v>
      </c>
      <c r="E100" s="1" t="n">
        <v>46222</v>
      </c>
      <c r="F100" t="inlineStr">
        <is>
          <t>VÄSTRA GÖTALANDS LÄN</t>
        </is>
      </c>
      <c r="G100" t="inlineStr">
        <is>
          <t>TÖREBODA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35438-2024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46222</v>
      </c>
      <c r="F101" t="inlineStr">
        <is>
          <t>VÄSTRA GÖTALANDS LÄN</t>
        </is>
      </c>
      <c r="G101" t="inlineStr">
        <is>
          <t>TÖREBODA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46222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15086-2024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45399</v>
      </c>
      <c r="E103" s="1" t="n">
        <v>46222</v>
      </c>
      <c r="F103" t="inlineStr">
        <is>
          <t>VÄSTRA GÖTALANDS LÄN</t>
        </is>
      </c>
      <c r="G103" t="inlineStr">
        <is>
          <t>TÖREBODA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43561-2024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45569</v>
      </c>
      <c r="E104" s="1" t="n">
        <v>46222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19723-2023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46222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20210-2022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44698</v>
      </c>
      <c r="E106" s="1" t="n">
        <v>46222</v>
      </c>
      <c r="F106" t="inlineStr">
        <is>
          <t>VÄSTRA GÖTALANDS LÄN</t>
        </is>
      </c>
      <c r="G106" t="inlineStr">
        <is>
          <t>TÖREBODA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18741-2025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46222</v>
      </c>
      <c r="F107" t="inlineStr">
        <is>
          <t>VÄSTRA GÖTALANDS LÄN</t>
        </is>
      </c>
      <c r="G107" t="inlineStr">
        <is>
          <t>TÖREBODA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30591-2025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46222</v>
      </c>
      <c r="F108" t="inlineStr">
        <is>
          <t>VÄSTRA GÖTALANDS LÄN</t>
        </is>
      </c>
      <c r="G108" t="inlineStr">
        <is>
          <t>TÖREBODA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44571</v>
      </c>
      <c r="E109" s="1" t="n">
        <v>46222</v>
      </c>
      <c r="F109" t="inlineStr">
        <is>
          <t>VÄSTRA GÖTALANDS LÄN</t>
        </is>
      </c>
      <c r="G109" t="inlineStr">
        <is>
          <t>TÖREBODA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62359-2022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46222</v>
      </c>
      <c r="F110" t="inlineStr">
        <is>
          <t>VÄSTRA GÖTALANDS LÄN</t>
        </is>
      </c>
      <c r="G110" t="inlineStr">
        <is>
          <t>TÖREBODA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45649-2024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45579</v>
      </c>
      <c r="E111" s="1" t="n">
        <v>46222</v>
      </c>
      <c r="F111" t="inlineStr">
        <is>
          <t>VÄSTRA GÖTALANDS LÄN</t>
        </is>
      </c>
      <c r="G111" t="inlineStr">
        <is>
          <t>TÖREBODA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46222</v>
      </c>
      <c r="F112" t="inlineStr">
        <is>
          <t>VÄSTRA GÖTALANDS LÄN</t>
        </is>
      </c>
      <c r="G112" t="inlineStr">
        <is>
          <t>TÖREBODA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43688-2025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45912</v>
      </c>
      <c r="E113" s="1" t="n">
        <v>46222</v>
      </c>
      <c r="F113" t="inlineStr">
        <is>
          <t>VÄSTRA GÖTALANDS LÄN</t>
        </is>
      </c>
      <c r="G113" t="inlineStr">
        <is>
          <t>TÖREBODA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46222</v>
      </c>
      <c r="F114" t="inlineStr">
        <is>
          <t>VÄSTRA GÖTALANDS LÄN</t>
        </is>
      </c>
      <c r="G114" t="inlineStr">
        <is>
          <t>TÖREBODA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32308-2025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46222</v>
      </c>
      <c r="F115" t="inlineStr">
        <is>
          <t>VÄSTRA GÖTALANDS LÄN</t>
        </is>
      </c>
      <c r="G115" t="inlineStr">
        <is>
          <t>TÖREBODA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39791-2024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46222</v>
      </c>
      <c r="F116" t="inlineStr">
        <is>
          <t>VÄSTRA GÖTALANDS LÄN</t>
        </is>
      </c>
      <c r="G116" t="inlineStr">
        <is>
          <t>TÖREBODA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46222</v>
      </c>
      <c r="F117" t="inlineStr">
        <is>
          <t>VÄSTRA GÖTALANDS LÄN</t>
        </is>
      </c>
      <c r="G117" t="inlineStr">
        <is>
          <t>TÖREBODA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44074-2025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46222</v>
      </c>
      <c r="F118" t="inlineStr">
        <is>
          <t>VÄSTRA GÖTALANDS LÄN</t>
        </is>
      </c>
      <c r="G118" t="inlineStr">
        <is>
          <t>TÖREBODA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33316-2025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46222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33541-2025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46222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33309-2025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46222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33396-2025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46222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33534-2025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46222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46222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33331-2025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46222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45262-2025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46222</v>
      </c>
      <c r="F126" t="inlineStr">
        <is>
          <t>VÄSTRA GÖTALANDS LÄN</t>
        </is>
      </c>
      <c r="G126" t="inlineStr">
        <is>
          <t>TÖREBODA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18845-2025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45764</v>
      </c>
      <c r="E127" s="1" t="n">
        <v>46222</v>
      </c>
      <c r="F127" t="inlineStr">
        <is>
          <t>VÄSTRA GÖTALANDS LÄN</t>
        </is>
      </c>
      <c r="G127" t="inlineStr">
        <is>
          <t>TÖREBODA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46135-2025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45924</v>
      </c>
      <c r="E128" s="1" t="n">
        <v>46222</v>
      </c>
      <c r="F128" t="inlineStr">
        <is>
          <t>VÄSTRA GÖTALANDS LÄN</t>
        </is>
      </c>
      <c r="G128" t="inlineStr">
        <is>
          <t>TÖREBODA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10442-2025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46222</v>
      </c>
      <c r="F129" t="inlineStr">
        <is>
          <t>VÄSTRA GÖTALANDS LÄN</t>
        </is>
      </c>
      <c r="G129" t="inlineStr">
        <is>
          <t>TÖREBODA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14550-2025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45741</v>
      </c>
      <c r="E130" s="1" t="n">
        <v>46222</v>
      </c>
      <c r="F130" t="inlineStr">
        <is>
          <t>VÄSTRA GÖTALANDS LÄN</t>
        </is>
      </c>
      <c r="G130" t="inlineStr">
        <is>
          <t>TÖREBODA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46222</v>
      </c>
      <c r="F131" t="inlineStr">
        <is>
          <t>VÄSTRA GÖTALANDS LÄN</t>
        </is>
      </c>
      <c r="G131" t="inlineStr">
        <is>
          <t>TÖREBODA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46222</v>
      </c>
      <c r="F132" t="inlineStr">
        <is>
          <t>VÄSTRA GÖTALANDS LÄN</t>
        </is>
      </c>
      <c r="G132" t="inlineStr">
        <is>
          <t>TÖREBODA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47319-2022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46222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23662-2023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45077</v>
      </c>
      <c r="E134" s="1" t="n">
        <v>46222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Övriga Aktiebolag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46222</v>
      </c>
      <c r="F135" t="inlineStr">
        <is>
          <t>VÄSTRA GÖTALANDS LÄN</t>
        </is>
      </c>
      <c r="G135" t="inlineStr">
        <is>
          <t>TÖREBODA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57225-2021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46222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Sveaskog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49171-2025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46222</v>
      </c>
      <c r="F137" t="inlineStr">
        <is>
          <t>VÄSTRA GÖTALANDS LÄN</t>
        </is>
      </c>
      <c r="G137" t="inlineStr">
        <is>
          <t>TÖREBODA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46222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46222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13056-2023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46222</v>
      </c>
      <c r="F140" t="inlineStr">
        <is>
          <t>VÄSTRA GÖTALANDS LÄN</t>
        </is>
      </c>
      <c r="G140" t="inlineStr">
        <is>
          <t>TÖREBODA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11159-2023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44987</v>
      </c>
      <c r="E141" s="1" t="n">
        <v>46222</v>
      </c>
      <c r="F141" t="inlineStr">
        <is>
          <t>VÄSTRA GÖTALANDS LÄN</t>
        </is>
      </c>
      <c r="G141" t="inlineStr">
        <is>
          <t>TÖREBODA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10448-2025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46222</v>
      </c>
      <c r="F142" t="inlineStr">
        <is>
          <t>VÄSTRA GÖTALANDS LÄN</t>
        </is>
      </c>
      <c r="G142" t="inlineStr">
        <is>
          <t>TÖREBODA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6970-2026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46057</v>
      </c>
      <c r="E143" s="1" t="n">
        <v>46222</v>
      </c>
      <c r="F143" t="inlineStr">
        <is>
          <t>VÄSTRA GÖTALANDS LÄN</t>
        </is>
      </c>
      <c r="G143" t="inlineStr">
        <is>
          <t>TÖREBODA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56684-2024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45627</v>
      </c>
      <c r="E144" s="1" t="n">
        <v>46222</v>
      </c>
      <c r="F144" t="inlineStr">
        <is>
          <t>VÄSTRA GÖTALANDS LÄN</t>
        </is>
      </c>
      <c r="G144" t="inlineStr">
        <is>
          <t>TÖREBODA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45664</v>
      </c>
      <c r="E145" s="1" t="n">
        <v>46222</v>
      </c>
      <c r="F145" t="inlineStr">
        <is>
          <t>VÄSTRA GÖTALANDS LÄN</t>
        </is>
      </c>
      <c r="G145" t="inlineStr">
        <is>
          <t>TÖREBODA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46222</v>
      </c>
      <c r="F146" t="inlineStr">
        <is>
          <t>VÄSTRA GÖTALANDS LÄN</t>
        </is>
      </c>
      <c r="G146" t="inlineStr">
        <is>
          <t>TÖREBODA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51081-2025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46222</v>
      </c>
      <c r="F147" t="inlineStr">
        <is>
          <t>VÄSTRA GÖTALANDS LÄN</t>
        </is>
      </c>
      <c r="G147" t="inlineStr">
        <is>
          <t>TÖREBODA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7860-2026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46222</v>
      </c>
      <c r="F148" t="inlineStr">
        <is>
          <t>VÄSTRA GÖTALANDS LÄN</t>
        </is>
      </c>
      <c r="G148" t="inlineStr">
        <is>
          <t>TÖREBODA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6442-2025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45699</v>
      </c>
      <c r="E149" s="1" t="n">
        <v>46222</v>
      </c>
      <c r="F149" t="inlineStr">
        <is>
          <t>VÄSTRA GÖTALANDS LÄN</t>
        </is>
      </c>
      <c r="G149" t="inlineStr">
        <is>
          <t>TÖREBODA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32463-2022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46222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Övriga statliga verk och myndigheter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52638-2025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45954</v>
      </c>
      <c r="E151" s="1" t="n">
        <v>46222</v>
      </c>
      <c r="F151" t="inlineStr">
        <is>
          <t>VÄSTRA GÖTALANDS LÄN</t>
        </is>
      </c>
      <c r="G151" t="inlineStr">
        <is>
          <t>TÖREBODA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46222</v>
      </c>
      <c r="F152" t="inlineStr">
        <is>
          <t>VÄSTRA GÖTALANDS LÄN</t>
        </is>
      </c>
      <c r="G152" t="inlineStr">
        <is>
          <t>TÖREBODA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44518-2023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46222</v>
      </c>
      <c r="F153" t="inlineStr">
        <is>
          <t>VÄSTRA GÖTALANDS LÄN</t>
        </is>
      </c>
      <c r="G153" t="inlineStr">
        <is>
          <t>TÖREBODA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29891-2022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44756</v>
      </c>
      <c r="E154" s="1" t="n">
        <v>46222</v>
      </c>
      <c r="F154" t="inlineStr">
        <is>
          <t>VÄSTRA GÖTALANDS LÄN</t>
        </is>
      </c>
      <c r="G154" t="inlineStr">
        <is>
          <t>TÖREBODA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54016-2025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46222</v>
      </c>
      <c r="F155" t="inlineStr">
        <is>
          <t>VÄSTRA GÖTALANDS LÄN</t>
        </is>
      </c>
      <c r="G155" t="inlineStr">
        <is>
          <t>TÖREBODA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55656-2025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45972</v>
      </c>
      <c r="E156" s="1" t="n">
        <v>46222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55593-2025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45971</v>
      </c>
      <c r="E157" s="1" t="n">
        <v>46222</v>
      </c>
      <c r="F157" t="inlineStr">
        <is>
          <t>VÄSTRA GÖTALANDS LÄN</t>
        </is>
      </c>
      <c r="G157" t="inlineStr">
        <is>
          <t>TÖREBODA</t>
        </is>
      </c>
      <c r="I157" t="n">
        <v>20.8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55729-2025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46222</v>
      </c>
      <c r="F158" t="inlineStr">
        <is>
          <t>VÄSTRA GÖTALANDS LÄN</t>
        </is>
      </c>
      <c r="G158" t="inlineStr">
        <is>
          <t>TÖREBODA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10818-2026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46222</v>
      </c>
      <c r="F159" t="inlineStr">
        <is>
          <t>VÄSTRA GÖTALANDS LÄN</t>
        </is>
      </c>
      <c r="G159" t="inlineStr">
        <is>
          <t>TÖREBODA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55669-2025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46222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56131-2025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46222</v>
      </c>
      <c r="F161" t="inlineStr">
        <is>
          <t>VÄSTRA GÖTALANDS LÄN</t>
        </is>
      </c>
      <c r="G161" t="inlineStr">
        <is>
          <t>TÖREBODA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60384-2024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45643</v>
      </c>
      <c r="E162" s="1" t="n">
        <v>46222</v>
      </c>
      <c r="F162" t="inlineStr">
        <is>
          <t>VÄSTRA GÖTALANDS LÄN</t>
        </is>
      </c>
      <c r="G162" t="inlineStr">
        <is>
          <t>TÖREBODA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55648-2025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46222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Sveaskog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55766-2025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45972</v>
      </c>
      <c r="E164" s="1" t="n">
        <v>46222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55652-2025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46222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46222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Kyrkan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19256-2023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45049</v>
      </c>
      <c r="E167" s="1" t="n">
        <v>46222</v>
      </c>
      <c r="F167" t="inlineStr">
        <is>
          <t>VÄSTRA GÖTALANDS LÄN</t>
        </is>
      </c>
      <c r="G167" t="inlineStr">
        <is>
          <t>TÖREBODA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11863-2026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46222</v>
      </c>
      <c r="F168" t="inlineStr">
        <is>
          <t>VÄSTRA GÖTALANDS LÄN</t>
        </is>
      </c>
      <c r="G168" t="inlineStr">
        <is>
          <t>TÖREBODA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18449-2024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45425</v>
      </c>
      <c r="E169" s="1" t="n">
        <v>46222</v>
      </c>
      <c r="F169" t="inlineStr">
        <is>
          <t>VÄSTRA GÖTALANDS LÄN</t>
        </is>
      </c>
      <c r="G169" t="inlineStr">
        <is>
          <t>TÖREBODA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17497-2025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46222</v>
      </c>
      <c r="F170" t="inlineStr">
        <is>
          <t>VÄSTRA GÖTALANDS LÄN</t>
        </is>
      </c>
      <c r="G170" t="inlineStr">
        <is>
          <t>TÖREBODA</t>
        </is>
      </c>
      <c r="I170" t="n">
        <v>49.4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62542-2022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44924</v>
      </c>
      <c r="E171" s="1" t="n">
        <v>46222</v>
      </c>
      <c r="F171" t="inlineStr">
        <is>
          <t>VÄSTRA GÖTALANDS LÄN</t>
        </is>
      </c>
      <c r="G171" t="inlineStr">
        <is>
          <t>TÖREBODA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16703-2025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46222</v>
      </c>
      <c r="F172" t="inlineStr">
        <is>
          <t>VÄSTRA GÖTALANDS LÄN</t>
        </is>
      </c>
      <c r="G172" t="inlineStr">
        <is>
          <t>TÖREBODA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27251-2023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46222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Övriga statliga verk och myndigheter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39798-2024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46222</v>
      </c>
      <c r="F174" t="inlineStr">
        <is>
          <t>VÄSTRA GÖTALANDS LÄN</t>
        </is>
      </c>
      <c r="G174" t="inlineStr">
        <is>
          <t>TÖREBODA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56273-2022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44890</v>
      </c>
      <c r="E175" s="1" t="n">
        <v>46222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statliga verk och myndigheter</t>
        </is>
      </c>
      <c r="I175" t="n">
        <v>12.6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14557-2026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46222</v>
      </c>
      <c r="F176" t="inlineStr">
        <is>
          <t>VÄSTRA GÖTALANDS LÄN</t>
        </is>
      </c>
      <c r="G176" t="inlineStr">
        <is>
          <t>TÖREBODA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51626-2023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46222</v>
      </c>
      <c r="F177" t="inlineStr">
        <is>
          <t>VÄSTRA GÖTALANDS LÄN</t>
        </is>
      </c>
      <c r="G177" t="inlineStr">
        <is>
          <t>TÖREBODA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53791-2023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45231</v>
      </c>
      <c r="E178" s="1" t="n">
        <v>46222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62980-2025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46222</v>
      </c>
      <c r="F179" t="inlineStr">
        <is>
          <t>VÄSTRA GÖTALANDS LÄN</t>
        </is>
      </c>
      <c r="G179" t="inlineStr">
        <is>
          <t>TÖREBODA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23033-2024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45450</v>
      </c>
      <c r="E180" s="1" t="n">
        <v>46222</v>
      </c>
      <c r="F180" t="inlineStr">
        <is>
          <t>VÄSTRA GÖTALANDS LÄN</t>
        </is>
      </c>
      <c r="G180" t="inlineStr">
        <is>
          <t>TÖREBODA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63133-2025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46222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12634-2024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45384</v>
      </c>
      <c r="E182" s="1" t="n">
        <v>46222</v>
      </c>
      <c r="F182" t="inlineStr">
        <is>
          <t>VÄSTRA GÖTALANDS LÄN</t>
        </is>
      </c>
      <c r="G182" t="inlineStr">
        <is>
          <t>TÖREBODA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15567-2026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46106</v>
      </c>
      <c r="E183" s="1" t="n">
        <v>46222</v>
      </c>
      <c r="F183" t="inlineStr">
        <is>
          <t>VÄSTRA GÖTALANDS LÄN</t>
        </is>
      </c>
      <c r="G183" t="inlineStr">
        <is>
          <t>TÖREBODA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34865-2023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46222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45309</v>
      </c>
      <c r="E185" s="1" t="n">
        <v>46222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35238-2023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46222</v>
      </c>
      <c r="F186" t="inlineStr">
        <is>
          <t>VÄSTRA GÖTALANDS LÄN</t>
        </is>
      </c>
      <c r="G186" t="inlineStr">
        <is>
          <t>TÖREBODA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16200-2026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46222</v>
      </c>
      <c r="F187" t="inlineStr">
        <is>
          <t>VÄSTRA GÖTALANDS LÄN</t>
        </is>
      </c>
      <c r="G187" t="inlineStr">
        <is>
          <t>TÖREBODA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33754-2023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45133</v>
      </c>
      <c r="E188" s="1" t="n">
        <v>46222</v>
      </c>
      <c r="F188" t="inlineStr">
        <is>
          <t>VÄSTRA GÖTALANDS LÄN</t>
        </is>
      </c>
      <c r="G188" t="inlineStr">
        <is>
          <t>TÖREBODA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14555-2026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46100</v>
      </c>
      <c r="E189" s="1" t="n">
        <v>46222</v>
      </c>
      <c r="F189" t="inlineStr">
        <is>
          <t>VÄSTRA GÖTALANDS LÄN</t>
        </is>
      </c>
      <c r="G189" t="inlineStr">
        <is>
          <t>TÖREBODA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46222</v>
      </c>
      <c r="F190" t="inlineStr">
        <is>
          <t>VÄSTRA GÖTALANDS LÄN</t>
        </is>
      </c>
      <c r="G190" t="inlineStr">
        <is>
          <t>TÖREBODA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17895-2026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46122</v>
      </c>
      <c r="E191" s="1" t="n">
        <v>46222</v>
      </c>
      <c r="F191" t="inlineStr">
        <is>
          <t>VÄSTRA GÖTALANDS LÄN</t>
        </is>
      </c>
      <c r="G191" t="inlineStr">
        <is>
          <t>TÖREBODA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24545-2024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46222</v>
      </c>
      <c r="F192" t="inlineStr">
        <is>
          <t>VÄSTRA GÖTALANDS LÄN</t>
        </is>
      </c>
      <c r="G192" t="inlineStr">
        <is>
          <t>TÖREBODA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39189-2023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46222</v>
      </c>
      <c r="F193" t="inlineStr">
        <is>
          <t>VÄSTRA GÖTALANDS LÄN</t>
        </is>
      </c>
      <c r="G193" t="inlineStr">
        <is>
          <t>TÖREBODA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40598-2024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45556</v>
      </c>
      <c r="E194" s="1" t="n">
        <v>46222</v>
      </c>
      <c r="F194" t="inlineStr">
        <is>
          <t>VÄSTRA GÖTALANDS LÄN</t>
        </is>
      </c>
      <c r="G194" t="inlineStr">
        <is>
          <t>TÖREBODA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27231-2023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46222</v>
      </c>
      <c r="F195" t="inlineStr">
        <is>
          <t>VÄSTRA GÖTALANDS LÄN</t>
        </is>
      </c>
      <c r="G195" t="inlineStr">
        <is>
          <t>TÖREBODA</t>
        </is>
      </c>
      <c r="H195" t="inlineStr">
        <is>
          <t>Övriga statliga verk och myndigheter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22021-2024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46222</v>
      </c>
      <c r="F196" t="inlineStr">
        <is>
          <t>VÄSTRA GÖTALANDS LÄN</t>
        </is>
      </c>
      <c r="G196" t="inlineStr">
        <is>
          <t>TÖREBODA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24355-2024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45457</v>
      </c>
      <c r="E197" s="1" t="n">
        <v>46222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39660-2024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45552</v>
      </c>
      <c r="E198" s="1" t="n">
        <v>46222</v>
      </c>
      <c r="F198" t="inlineStr">
        <is>
          <t>VÄSTRA GÖTALANDS LÄN</t>
        </is>
      </c>
      <c r="G198" t="inlineStr">
        <is>
          <t>TÖREBODA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19685-2026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46134</v>
      </c>
      <c r="E199" s="1" t="n">
        <v>46222</v>
      </c>
      <c r="F199" t="inlineStr">
        <is>
          <t>VÄSTRA GÖTALANDS LÄN</t>
        </is>
      </c>
      <c r="G199" t="inlineStr">
        <is>
          <t>TÖREBODA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56685-2024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45627</v>
      </c>
      <c r="E200" s="1" t="n">
        <v>46222</v>
      </c>
      <c r="F200" t="inlineStr">
        <is>
          <t>VÄSTRA GÖTALANDS LÄN</t>
        </is>
      </c>
      <c r="G200" t="inlineStr">
        <is>
          <t>TÖREBODA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40542-2024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46222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19706-2026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46134</v>
      </c>
      <c r="E202" s="1" t="n">
        <v>46222</v>
      </c>
      <c r="F202" t="inlineStr">
        <is>
          <t>VÄSTRA GÖTALANDS LÄN</t>
        </is>
      </c>
      <c r="G202" t="inlineStr">
        <is>
          <t>TÖREBODA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62781-2023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46222</v>
      </c>
      <c r="F203" t="inlineStr">
        <is>
          <t>VÄSTRA GÖTALANDS LÄN</t>
        </is>
      </c>
      <c r="G203" t="inlineStr">
        <is>
          <t>TÖREBODA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15947-2022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44664</v>
      </c>
      <c r="E204" s="1" t="n">
        <v>46222</v>
      </c>
      <c r="F204" t="inlineStr">
        <is>
          <t>VÄSTRA GÖTALANDS LÄN</t>
        </is>
      </c>
      <c r="G204" t="inlineStr">
        <is>
          <t>TÖREBODA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16265-2025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46222</v>
      </c>
      <c r="F205" t="inlineStr">
        <is>
          <t>VÄSTRA GÖTALANDS LÄN</t>
        </is>
      </c>
      <c r="G205" t="inlineStr">
        <is>
          <t>TÖREBODA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35239-2023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45145</v>
      </c>
      <c r="E206" s="1" t="n">
        <v>46222</v>
      </c>
      <c r="F206" t="inlineStr">
        <is>
          <t>VÄSTRA GÖTALANDS LÄN</t>
        </is>
      </c>
      <c r="G206" t="inlineStr">
        <is>
          <t>TÖREBODA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46222</v>
      </c>
      <c r="F207" t="inlineStr">
        <is>
          <t>VÄSTRA GÖTALANDS LÄN</t>
        </is>
      </c>
      <c r="G207" t="inlineStr">
        <is>
          <t>TÖREBODA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23664-2023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45077</v>
      </c>
      <c r="E208" s="1" t="n">
        <v>46222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Aktiebolag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20471-2026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46222</v>
      </c>
      <c r="F209" t="inlineStr">
        <is>
          <t>VÄSTRA GÖTALANDS LÄN</t>
        </is>
      </c>
      <c r="G209" t="inlineStr">
        <is>
          <t>TÖREBODA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51889-2024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45607</v>
      </c>
      <c r="E210" s="1" t="n">
        <v>46222</v>
      </c>
      <c r="F210" t="inlineStr">
        <is>
          <t>VÄSTRA GÖTALANDS LÄN</t>
        </is>
      </c>
      <c r="G210" t="inlineStr">
        <is>
          <t>TÖREBODA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54734-2023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46222</v>
      </c>
      <c r="F211" t="inlineStr">
        <is>
          <t>VÄSTRA GÖTALANDS LÄN</t>
        </is>
      </c>
      <c r="G211" t="inlineStr">
        <is>
          <t>TÖREBODA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19874-2022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44697</v>
      </c>
      <c r="E212" s="1" t="n">
        <v>46222</v>
      </c>
      <c r="F212" t="inlineStr">
        <is>
          <t>VÄSTRA GÖTALANDS LÄN</t>
        </is>
      </c>
      <c r="G212" t="inlineStr">
        <is>
          <t>TÖREBODA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37837-2023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45156</v>
      </c>
      <c r="E213" s="1" t="n">
        <v>46222</v>
      </c>
      <c r="F213" t="inlineStr">
        <is>
          <t>VÄSTRA GÖTALANDS LÄN</t>
        </is>
      </c>
      <c r="G213" t="inlineStr">
        <is>
          <t>TÖREBODA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35487-2024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46222</v>
      </c>
      <c r="F214" t="inlineStr">
        <is>
          <t>VÄSTRA GÖTALANDS LÄN</t>
        </is>
      </c>
      <c r="G214" t="inlineStr">
        <is>
          <t>TÖREBODA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55285-2023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46222</v>
      </c>
      <c r="F215" t="inlineStr">
        <is>
          <t>VÄSTRA GÖTALANDS LÄN</t>
        </is>
      </c>
      <c r="G215" t="inlineStr">
        <is>
          <t>TÖREBODA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18687-2025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46222</v>
      </c>
      <c r="F216" t="inlineStr">
        <is>
          <t>VÄSTRA GÖTALANDS LÄN</t>
        </is>
      </c>
      <c r="G216" t="inlineStr">
        <is>
          <t>TÖREBODA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57974-2022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46222</v>
      </c>
      <c r="F217" t="inlineStr">
        <is>
          <t>VÄSTRA GÖTALANDS LÄN</t>
        </is>
      </c>
      <c r="G217" t="inlineStr">
        <is>
          <t>TÖREBODA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54621-2021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46222</v>
      </c>
      <c r="F218" t="inlineStr">
        <is>
          <t>VÄSTRA GÖTALANDS LÄN</t>
        </is>
      </c>
      <c r="G218" t="inlineStr">
        <is>
          <t>TÖREBODA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28965-2022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46222</v>
      </c>
      <c r="F219" t="inlineStr">
        <is>
          <t>VÄSTRA GÖTALANDS LÄN</t>
        </is>
      </c>
      <c r="G219" t="inlineStr">
        <is>
          <t>TÖREBODA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28196-2022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44746</v>
      </c>
      <c r="E220" s="1" t="n">
        <v>46222</v>
      </c>
      <c r="F220" t="inlineStr">
        <is>
          <t>VÄSTRA GÖTALANDS LÄN</t>
        </is>
      </c>
      <c r="G220" t="inlineStr">
        <is>
          <t>TÖREBODA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21187-2026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46222</v>
      </c>
      <c r="F221" t="inlineStr">
        <is>
          <t>VÄSTRA GÖTALANDS LÄN</t>
        </is>
      </c>
      <c r="G221" t="inlineStr">
        <is>
          <t>TÖREBODA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35232-2024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45530</v>
      </c>
      <c r="E222" s="1" t="n">
        <v>46222</v>
      </c>
      <c r="F222" t="inlineStr">
        <is>
          <t>VÄSTRA GÖTALANDS LÄN</t>
        </is>
      </c>
      <c r="G222" t="inlineStr">
        <is>
          <t>TÖREBODA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46222</v>
      </c>
      <c r="F223" t="inlineStr">
        <is>
          <t>VÄSTRA GÖTALANDS LÄN</t>
        </is>
      </c>
      <c r="G223" t="inlineStr">
        <is>
          <t>TÖREBODA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22861-2024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45448</v>
      </c>
      <c r="E224" s="1" t="n">
        <v>46222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Övriga statliga verk och myndigheter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46222</v>
      </c>
      <c r="F225" t="inlineStr">
        <is>
          <t>VÄSTRA GÖTALANDS LÄN</t>
        </is>
      </c>
      <c r="G225" t="inlineStr">
        <is>
          <t>TÖREBODA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21966-2026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46152</v>
      </c>
      <c r="E226" s="1" t="n">
        <v>46222</v>
      </c>
      <c r="F226" t="inlineStr">
        <is>
          <t>VÄSTRA GÖTALANDS LÄN</t>
        </is>
      </c>
      <c r="G226" t="inlineStr">
        <is>
          <t>TÖREBODA</t>
        </is>
      </c>
      <c r="I226" t="n">
        <v>8.6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21967-2026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46152</v>
      </c>
      <c r="E227" s="1" t="n">
        <v>46222</v>
      </c>
      <c r="F227" t="inlineStr">
        <is>
          <t>VÄSTRA GÖTALANDS LÄN</t>
        </is>
      </c>
      <c r="G227" t="inlineStr">
        <is>
          <t>TÖREBODA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21968-2026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46152</v>
      </c>
      <c r="E228" s="1" t="n">
        <v>46222</v>
      </c>
      <c r="F228" t="inlineStr">
        <is>
          <t>VÄSTRA GÖTALANDS LÄN</t>
        </is>
      </c>
      <c r="G228" t="inlineStr">
        <is>
          <t>TÖREBODA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54459-2023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45233</v>
      </c>
      <c r="E229" s="1" t="n">
        <v>46222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Övriga statliga verk och myndigheter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16007-2024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46222</v>
      </c>
      <c r="F230" t="inlineStr">
        <is>
          <t>VÄSTRA GÖTALANDS LÄN</t>
        </is>
      </c>
      <c r="G230" t="inlineStr">
        <is>
          <t>TÖREBODA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21964-2026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46152</v>
      </c>
      <c r="E231" s="1" t="n">
        <v>46222</v>
      </c>
      <c r="F231" t="inlineStr">
        <is>
          <t>VÄSTRA GÖTALANDS LÄN</t>
        </is>
      </c>
      <c r="G231" t="inlineStr">
        <is>
          <t>TÖREBODA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21963-2026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46152</v>
      </c>
      <c r="E232" s="1" t="n">
        <v>46222</v>
      </c>
      <c r="F232" t="inlineStr">
        <is>
          <t>VÄSTRA GÖTALANDS LÄN</t>
        </is>
      </c>
      <c r="G232" t="inlineStr">
        <is>
          <t>TÖREBODA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9655-2023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44978</v>
      </c>
      <c r="E233" s="1" t="n">
        <v>46222</v>
      </c>
      <c r="F233" t="inlineStr">
        <is>
          <t>VÄSTRA GÖTALANDS LÄN</t>
        </is>
      </c>
      <c r="G233" t="inlineStr">
        <is>
          <t>TÖREBODA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26759-2022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44740</v>
      </c>
      <c r="E234" s="1" t="n">
        <v>46222</v>
      </c>
      <c r="F234" t="inlineStr">
        <is>
          <t>VÄSTRA GÖTALANDS LÄN</t>
        </is>
      </c>
      <c r="G234" t="inlineStr">
        <is>
          <t>TÖREBODA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61873-2024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45651</v>
      </c>
      <c r="E235" s="1" t="n">
        <v>46222</v>
      </c>
      <c r="F235" t="inlineStr">
        <is>
          <t>VÄSTRA GÖTALANDS LÄN</t>
        </is>
      </c>
      <c r="G235" t="inlineStr">
        <is>
          <t>TÖREBODA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29739-2024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45485</v>
      </c>
      <c r="E236" s="1" t="n">
        <v>46222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48491-2022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46222</v>
      </c>
      <c r="F237" t="inlineStr">
        <is>
          <t>VÄSTRA GÖTALANDS LÄN</t>
        </is>
      </c>
      <c r="G237" t="inlineStr">
        <is>
          <t>TÖREBODA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21961-2026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46152</v>
      </c>
      <c r="E238" s="1" t="n">
        <v>46222</v>
      </c>
      <c r="F238" t="inlineStr">
        <is>
          <t>VÄSTRA GÖTALANDS LÄN</t>
        </is>
      </c>
      <c r="G238" t="inlineStr">
        <is>
          <t>TÖREBODA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21962-2026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46152</v>
      </c>
      <c r="E239" s="1" t="n">
        <v>46222</v>
      </c>
      <c r="F239" t="inlineStr">
        <is>
          <t>VÄSTRA GÖTALANDS LÄN</t>
        </is>
      </c>
      <c r="G239" t="inlineStr">
        <is>
          <t>TÖREBODA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21965-2026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46152</v>
      </c>
      <c r="E240" s="1" t="n">
        <v>46222</v>
      </c>
      <c r="F240" t="inlineStr">
        <is>
          <t>VÄSTRA GÖTALANDS LÄN</t>
        </is>
      </c>
      <c r="G240" t="inlineStr">
        <is>
          <t>TÖREBODA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58226-2022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46222</v>
      </c>
      <c r="F241" t="inlineStr">
        <is>
          <t>VÄSTRA GÖTALANDS LÄN</t>
        </is>
      </c>
      <c r="G241" t="inlineStr">
        <is>
          <t>TÖREBODA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46222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1981-2025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46222</v>
      </c>
      <c r="F243" t="inlineStr">
        <is>
          <t>VÄSTRA GÖTALANDS LÄN</t>
        </is>
      </c>
      <c r="G243" t="inlineStr">
        <is>
          <t>TÖREBODA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62782-2023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46222</v>
      </c>
      <c r="F244" t="inlineStr">
        <is>
          <t>VÄSTRA GÖTALANDS LÄN</t>
        </is>
      </c>
      <c r="G244" t="inlineStr">
        <is>
          <t>TÖREBODA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44951</v>
      </c>
      <c r="E245" s="1" t="n">
        <v>46222</v>
      </c>
      <c r="F245" t="inlineStr">
        <is>
          <t>VÄSTRA GÖTALANDS LÄN</t>
        </is>
      </c>
      <c r="G245" t="inlineStr">
        <is>
          <t>TÖREBODA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62363-2022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44923</v>
      </c>
      <c r="E246" s="1" t="n">
        <v>46222</v>
      </c>
      <c r="F246" t="inlineStr">
        <is>
          <t>VÄSTRA GÖTALANDS LÄN</t>
        </is>
      </c>
      <c r="G246" t="inlineStr">
        <is>
          <t>TÖREBODA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7122-2024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45344</v>
      </c>
      <c r="E247" s="1" t="n">
        <v>46222</v>
      </c>
      <c r="F247" t="inlineStr">
        <is>
          <t>VÄSTRA GÖTALANDS LÄN</t>
        </is>
      </c>
      <c r="G247" t="inlineStr">
        <is>
          <t>TÖREBODA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44964</v>
      </c>
      <c r="E248" s="1" t="n">
        <v>46222</v>
      </c>
      <c r="F248" t="inlineStr">
        <is>
          <t>VÄSTRA GÖTALANDS LÄN</t>
        </is>
      </c>
      <c r="G248" t="inlineStr">
        <is>
          <t>TÖREBODA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38841-2022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44816</v>
      </c>
      <c r="E249" s="1" t="n">
        <v>46222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Kyrkan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5971-2022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44599</v>
      </c>
      <c r="E250" s="1" t="n">
        <v>46222</v>
      </c>
      <c r="F250" t="inlineStr">
        <is>
          <t>VÄSTRA GÖTALANDS LÄN</t>
        </is>
      </c>
      <c r="G250" t="inlineStr">
        <is>
          <t>TÖREBODA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57984-2022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46222</v>
      </c>
      <c r="F251" t="inlineStr">
        <is>
          <t>VÄSTRA GÖTALANDS LÄN</t>
        </is>
      </c>
      <c r="G251" t="inlineStr">
        <is>
          <t>TÖREBODA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24546-2024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46222</v>
      </c>
      <c r="F252" t="inlineStr">
        <is>
          <t>VÄSTRA GÖTALANDS LÄN</t>
        </is>
      </c>
      <c r="G252" t="inlineStr">
        <is>
          <t>TÖREBODA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57670-2023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46222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58213-2022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46222</v>
      </c>
      <c r="F254" t="inlineStr">
        <is>
          <t>VÄSTRA GÖTALANDS LÄN</t>
        </is>
      </c>
      <c r="G254" t="inlineStr">
        <is>
          <t>TÖREBODA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24381-2023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45076</v>
      </c>
      <c r="E255" s="1" t="n">
        <v>46222</v>
      </c>
      <c r="F255" t="inlineStr">
        <is>
          <t>VÄSTRA GÖTALANDS LÄN</t>
        </is>
      </c>
      <c r="G255" t="inlineStr">
        <is>
          <t>TÖREBODA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30200-2026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46222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44937</v>
      </c>
      <c r="E257" s="1" t="n">
        <v>46222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Övriga statliga verk och myndigheter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30194-2026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46222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7680-2023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46222</v>
      </c>
      <c r="F259" t="inlineStr">
        <is>
          <t>VÄSTRA GÖTALANDS LÄN</t>
        </is>
      </c>
      <c r="G259" t="inlineStr">
        <is>
          <t>TÖREBODA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28183-2022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46222</v>
      </c>
      <c r="F260" t="inlineStr">
        <is>
          <t>VÄSTRA GÖTALANDS LÄN</t>
        </is>
      </c>
      <c r="G260" t="inlineStr">
        <is>
          <t>TÖREBODA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34862-2023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45142</v>
      </c>
      <c r="E261" s="1" t="n">
        <v>46222</v>
      </c>
      <c r="F261" t="inlineStr">
        <is>
          <t>VÄSTRA GÖTALANDS LÄN</t>
        </is>
      </c>
      <c r="G261" t="inlineStr">
        <is>
          <t>TÖREBODA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30198-2026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46222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6446-2025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45699</v>
      </c>
      <c r="E263" s="1" t="n">
        <v>46222</v>
      </c>
      <c r="F263" t="inlineStr">
        <is>
          <t>VÄSTRA GÖTALANDS LÄN</t>
        </is>
      </c>
      <c r="G263" t="inlineStr">
        <is>
          <t>TÖREBODA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42109-2024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46222</v>
      </c>
      <c r="F264" t="inlineStr">
        <is>
          <t>VÄSTRA GÖTALANDS LÄN</t>
        </is>
      </c>
      <c r="G264" t="inlineStr">
        <is>
          <t>TÖREBODA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45161-2023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45191</v>
      </c>
      <c r="E265" s="1" t="n">
        <v>46222</v>
      </c>
      <c r="F265" t="inlineStr">
        <is>
          <t>VÄSTRA GÖTALANDS LÄN</t>
        </is>
      </c>
      <c r="G265" t="inlineStr">
        <is>
          <t>TÖREBODA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7826-2024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46222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10430-2023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46222</v>
      </c>
      <c r="F267" t="inlineStr">
        <is>
          <t>VÄSTRA GÖTALANDS LÄN</t>
        </is>
      </c>
      <c r="G267" t="inlineStr">
        <is>
          <t>TÖREBODA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10431-2023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46222</v>
      </c>
      <c r="F268" t="inlineStr">
        <is>
          <t>VÄSTRA GÖTALANDS LÄN</t>
        </is>
      </c>
      <c r="G268" t="inlineStr">
        <is>
          <t>TÖREBODA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44956</v>
      </c>
      <c r="E269" s="1" t="n">
        <v>46222</v>
      </c>
      <c r="F269" t="inlineStr">
        <is>
          <t>VÄSTRA GÖTALANDS LÄN</t>
        </is>
      </c>
      <c r="G269" t="inlineStr">
        <is>
          <t>TÖREBODA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24160-2026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46168</v>
      </c>
      <c r="E270" s="1" t="n">
        <v>46222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24161-2026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46168</v>
      </c>
      <c r="E271" s="1" t="n">
        <v>46222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34436-2022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44792</v>
      </c>
      <c r="E272" s="1" t="n">
        <v>46222</v>
      </c>
      <c r="F272" t="inlineStr">
        <is>
          <t>VÄSTRA GÖTALANDS LÄN</t>
        </is>
      </c>
      <c r="G272" t="inlineStr">
        <is>
          <t>TÖREBODA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56614-2024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46222</v>
      </c>
      <c r="F273" t="inlineStr">
        <is>
          <t>VÄSTRA GÖTALANDS LÄN</t>
        </is>
      </c>
      <c r="G273" t="inlineStr">
        <is>
          <t>TÖREBODA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46222</v>
      </c>
      <c r="F274" t="inlineStr">
        <is>
          <t>VÄSTRA GÖTALANDS LÄN</t>
        </is>
      </c>
      <c r="G274" t="inlineStr">
        <is>
          <t>TÖREBODA</t>
        </is>
      </c>
      <c r="I274" t="n">
        <v>28.9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45322</v>
      </c>
      <c r="E275" s="1" t="n">
        <v>46222</v>
      </c>
      <c r="F275" t="inlineStr">
        <is>
          <t>VÄSTRA GÖTALANDS LÄN</t>
        </is>
      </c>
      <c r="G275" t="inlineStr">
        <is>
          <t>TÖREBODA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30539-2026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46222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10.7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20391-2023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45056</v>
      </c>
      <c r="E277" s="1" t="n">
        <v>46222</v>
      </c>
      <c r="F277" t="inlineStr">
        <is>
          <t>VÄSTRA GÖTALANDS LÄN</t>
        </is>
      </c>
      <c r="G277" t="inlineStr">
        <is>
          <t>TÖREBODA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27086-2022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44741</v>
      </c>
      <c r="E278" s="1" t="n">
        <v>46222</v>
      </c>
      <c r="F278" t="inlineStr">
        <is>
          <t>VÄSTRA GÖTALANDS LÄN</t>
        </is>
      </c>
      <c r="G278" t="inlineStr">
        <is>
          <t>TÖREBODA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59315-2024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45637</v>
      </c>
      <c r="E279" s="1" t="n">
        <v>46222</v>
      </c>
      <c r="F279" t="inlineStr">
        <is>
          <t>VÄSTRA GÖTALANDS LÄN</t>
        </is>
      </c>
      <c r="G279" t="inlineStr">
        <is>
          <t>TÖREBODA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56831-2022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44894</v>
      </c>
      <c r="E280" s="1" t="n">
        <v>46222</v>
      </c>
      <c r="F280" t="inlineStr">
        <is>
          <t>VÄSTRA GÖTALANDS LÄN</t>
        </is>
      </c>
      <c r="G280" t="inlineStr">
        <is>
          <t>TÖREBODA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16267-2025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45750</v>
      </c>
      <c r="E281" s="1" t="n">
        <v>46222</v>
      </c>
      <c r="F281" t="inlineStr">
        <is>
          <t>VÄSTRA GÖTALANDS LÄN</t>
        </is>
      </c>
      <c r="G281" t="inlineStr">
        <is>
          <t>TÖREBODA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39797-2024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46222</v>
      </c>
      <c r="F282" t="inlineStr">
        <is>
          <t>VÄSTRA GÖTALANDS LÄN</t>
        </is>
      </c>
      <c r="G282" t="inlineStr">
        <is>
          <t>TÖREBODA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9651-2023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44978</v>
      </c>
      <c r="E283" s="1" t="n">
        <v>46222</v>
      </c>
      <c r="F283" t="inlineStr">
        <is>
          <t>VÄSTRA GÖTALANDS LÄN</t>
        </is>
      </c>
      <c r="G283" t="inlineStr">
        <is>
          <t>TÖREBODA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41627-2022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44827</v>
      </c>
      <c r="E284" s="1" t="n">
        <v>46222</v>
      </c>
      <c r="F284" t="inlineStr">
        <is>
          <t>VÄSTRA GÖTALANDS LÄN</t>
        </is>
      </c>
      <c r="G284" t="inlineStr">
        <is>
          <t>TÖREBODA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41632-2022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44827</v>
      </c>
      <c r="E285" s="1" t="n">
        <v>46222</v>
      </c>
      <c r="F285" t="inlineStr">
        <is>
          <t>VÄSTRA GÖTALANDS LÄN</t>
        </is>
      </c>
      <c r="G285" t="inlineStr">
        <is>
          <t>TÖREBODA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39621-2024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45552</v>
      </c>
      <c r="E286" s="1" t="n">
        <v>46222</v>
      </c>
      <c r="F286" t="inlineStr">
        <is>
          <t>VÄSTRA GÖTALANDS LÄN</t>
        </is>
      </c>
      <c r="G286" t="inlineStr">
        <is>
          <t>TÖREBODA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6811-2025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45700</v>
      </c>
      <c r="E287" s="1" t="n">
        <v>46222</v>
      </c>
      <c r="F287" t="inlineStr">
        <is>
          <t>VÄSTRA GÖTALANDS LÄN</t>
        </is>
      </c>
      <c r="G287" t="inlineStr">
        <is>
          <t>TÖREBODA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44937</v>
      </c>
      <c r="E288" s="1" t="n">
        <v>46222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Övriga statliga verk och myndigheter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39652-2024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45552</v>
      </c>
      <c r="E289" s="1" t="n">
        <v>46222</v>
      </c>
      <c r="F289" t="inlineStr">
        <is>
          <t>VÄSTRA GÖTALANDS LÄN</t>
        </is>
      </c>
      <c r="G289" t="inlineStr">
        <is>
          <t>TÖREBODA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63113-2023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46222</v>
      </c>
      <c r="F290" t="inlineStr">
        <is>
          <t>VÄSTRA GÖTALANDS LÄN</t>
        </is>
      </c>
      <c r="G290" t="inlineStr">
        <is>
          <t>TÖREBODA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8315-2024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45350</v>
      </c>
      <c r="E291" s="1" t="n">
        <v>46222</v>
      </c>
      <c r="F291" t="inlineStr">
        <is>
          <t>VÄSTRA GÖTALANDS LÄN</t>
        </is>
      </c>
      <c r="G291" t="inlineStr">
        <is>
          <t>TÖREBODA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57220-2023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46222</v>
      </c>
      <c r="F292" t="inlineStr">
        <is>
          <t>VÄSTRA GÖTALANDS LÄN</t>
        </is>
      </c>
      <c r="G292" t="inlineStr">
        <is>
          <t>TÖREBODA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35489-2024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46222</v>
      </c>
      <c r="F293" t="inlineStr">
        <is>
          <t>VÄSTRA GÖTALANDS LÄN</t>
        </is>
      </c>
      <c r="G293" t="inlineStr">
        <is>
          <t>TÖREBODA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59438-2022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44907</v>
      </c>
      <c r="E294" s="1" t="n">
        <v>46222</v>
      </c>
      <c r="F294" t="inlineStr">
        <is>
          <t>VÄSTRA GÖTALANDS LÄN</t>
        </is>
      </c>
      <c r="G294" t="inlineStr">
        <is>
          <t>TÖREBODA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8402-2024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45352</v>
      </c>
      <c r="E295" s="1" t="n">
        <v>46222</v>
      </c>
      <c r="F295" t="inlineStr">
        <is>
          <t>VÄSTRA GÖTALANDS LÄN</t>
        </is>
      </c>
      <c r="G295" t="inlineStr">
        <is>
          <t>TÖREBODA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56805-2023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46222</v>
      </c>
      <c r="F296" t="inlineStr">
        <is>
          <t>VÄSTRA GÖTALANDS LÄN</t>
        </is>
      </c>
      <c r="G296" t="inlineStr">
        <is>
          <t>TÖREBODA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24349-2023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45082</v>
      </c>
      <c r="E297" s="1" t="n">
        <v>46222</v>
      </c>
      <c r="F297" t="inlineStr">
        <is>
          <t>VÄSTRA GÖTALANDS LÄN</t>
        </is>
      </c>
      <c r="G297" t="inlineStr">
        <is>
          <t>TÖREBODA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20976-2025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46222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46088-2024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45581</v>
      </c>
      <c r="E299" s="1" t="n">
        <v>46222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11730-2025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45727</v>
      </c>
      <c r="E300" s="1" t="n">
        <v>46222</v>
      </c>
      <c r="F300" t="inlineStr">
        <is>
          <t>VÄSTRA GÖTALANDS LÄN</t>
        </is>
      </c>
      <c r="G300" t="inlineStr">
        <is>
          <t>TÖREBODA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9109-2025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46222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46222</v>
      </c>
      <c r="F302" t="inlineStr">
        <is>
          <t>VÄSTRA GÖTALANDS LÄN</t>
        </is>
      </c>
      <c r="G302" t="inlineStr">
        <is>
          <t>TÖREBODA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58006-2024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45631</v>
      </c>
      <c r="E303" s="1" t="n">
        <v>46222</v>
      </c>
      <c r="F303" t="inlineStr">
        <is>
          <t>VÄSTRA GÖTALANDS LÄN</t>
        </is>
      </c>
      <c r="G303" t="inlineStr">
        <is>
          <t>TÖREBODA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48734-2024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46222</v>
      </c>
      <c r="F304" t="inlineStr">
        <is>
          <t>VÄSTRA GÖTALANDS LÄN</t>
        </is>
      </c>
      <c r="G304" t="inlineStr">
        <is>
          <t>TÖREBODA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21014-2024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46222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14505-2024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45394</v>
      </c>
      <c r="E306" s="1" t="n">
        <v>46222</v>
      </c>
      <c r="F306" t="inlineStr">
        <is>
          <t>VÄSTRA GÖTALANDS LÄN</t>
        </is>
      </c>
      <c r="G306" t="inlineStr">
        <is>
          <t>TÖREBODA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46222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Kyrkan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46222</v>
      </c>
      <c r="F308" t="inlineStr">
        <is>
          <t>VÄSTRA GÖTALANDS LÄN</t>
        </is>
      </c>
      <c r="G308" t="inlineStr">
        <is>
          <t>TÖREBODA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30593-2024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45493</v>
      </c>
      <c r="E309" s="1" t="n">
        <v>46222</v>
      </c>
      <c r="F309" t="inlineStr">
        <is>
          <t>VÄSTRA GÖTALANDS LÄN</t>
        </is>
      </c>
      <c r="G309" t="inlineStr">
        <is>
          <t>TÖREBODA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43559-2024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46222</v>
      </c>
      <c r="F310" t="inlineStr">
        <is>
          <t>VÄSTRA GÖTALANDS LÄN</t>
        </is>
      </c>
      <c r="G310" t="inlineStr">
        <is>
          <t>TÖREBODA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46222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46222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46222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46222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2026-07-19T01:33:15Z</dcterms:created>
  <dcterms:modified xmlns:dcterms="http://purl.org/dc/terms/" xmlns:xsi="http://www.w3.org/2001/XMLSchema-instance" xsi:type="dcterms:W3CDTF">2026-07-19T01:33:16Z</dcterms:modified>
</cp:coreProperties>
</file>